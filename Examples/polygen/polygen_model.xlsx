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torr\Documents\Proyectos\TaesLab\Examples\polygen\"/>
    </mc:Choice>
  </mc:AlternateContent>
  <xr:revisionPtr revIDLastSave="0" documentId="13_ncr:1_{ABFE611A-424D-4653-BBD2-4665BDEDB446}" xr6:coauthVersionLast="47" xr6:coauthVersionMax="47" xr10:uidLastSave="{00000000-0000-0000-0000-000000000000}"/>
  <bookViews>
    <workbookView xWindow="2475" yWindow="780" windowWidth="19005" windowHeight="14700" firstSheet="1" activeTab="6" xr2:uid="{00000000-000D-0000-FFFF-FFFF00000000}"/>
  </bookViews>
  <sheets>
    <sheet name="PhysicalDiagram" sheetId="5" r:id="rId1"/>
    <sheet name="Validate" sheetId="9" r:id="rId2"/>
    <sheet name="Flows" sheetId="1" r:id="rId3"/>
    <sheet name="Processes" sheetId="2" r:id="rId4"/>
    <sheet name="Exergy" sheetId="3" r:id="rId5"/>
    <sheet name="Format" sheetId="10" r:id="rId6"/>
    <sheet name="ResourcesCost" sheetId="7" r:id="rId7"/>
    <sheet name="WasteDefinition" sheetId="8" r:id="rId8"/>
  </sheets>
  <definedNames>
    <definedName name="cgam_flows" localSheetId="2">Flows!$A$1:$B$13</definedName>
    <definedName name="cgam_processes" localSheetId="3">Processes!$A$1:$D$1</definedName>
    <definedName name="cgam_sample" localSheetId="4">Exergy!$A$1:$B$13</definedName>
    <definedName name="polygen_flows" localSheetId="2">Flows!#REF!</definedName>
    <definedName name="polygen_processes_1" localSheetId="3">Processes!$G$2:$K$10</definedName>
    <definedName name="tgas_c0" localSheetId="6">ResourcesCost!$A$1:$C$2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gam_flows" type="6" refreshedVersion="6" deleted="1" background="1" saveData="1">
    <textPr codePage="850" sourceFile="C:\Users\es17155931r\Personal\Termoeconomia\ExIOLab\Ejemplos\cgam\cgam_flows.csv" comma="1">
      <textFields count="2">
        <textField/>
        <textField/>
      </textFields>
    </textPr>
  </connection>
  <connection id="2" xr16:uid="{00000000-0015-0000-FFFF-FFFF01000000}" name="cgam_processes" type="6" refreshedVersion="6" deleted="1" background="1" saveData="1">
    <textPr codePage="850" sourceFile="C:\Users\es17155931r\Personal\Termoeconomia\ExIOLab\Ejemplos\cgam\cgam_processes.csv" comma="1">
      <textFields count="5">
        <textField/>
        <textField/>
        <textField/>
        <textField/>
        <textField/>
      </textFields>
    </textPr>
  </connection>
  <connection id="3" xr16:uid="{00000000-0015-0000-FFFF-FFFF02000000}" name="cgam_sample" type="6" refreshedVersion="6" deleted="1" background="1" saveData="1">
    <textPr codePage="850" sourceFile="C:\Users\es17155931r\Personal\Termoeconomia\ExIOLab\Ejemplos\cgam\cgam_sample.csv" comma="1">
      <textFields count="3">
        <textField/>
        <textField/>
        <textField/>
      </textFields>
    </textPr>
  </connection>
  <connection id="4" xr16:uid="{00000000-0015-0000-FFFF-FFFF03000000}" name="polygen_processes" type="6" refreshedVersion="6" deleted="1" background="1" saveData="1">
    <textPr codePage="850" sourceFile="C:\Users\es17155931r\Personal\Termoeconomia\ExIOLab2\Ejemplos\polygen\polygen_processes.csv" comma="1">
      <textFields count="5">
        <textField/>
        <textField/>
        <textField/>
        <textField/>
        <textField/>
      </textFields>
    </textPr>
  </connection>
  <connection id="5" xr16:uid="{00000000-0015-0000-FFFF-FFFF04000000}" name="tgas_c0" type="6" refreshedVersion="6" deleted="1" background="1" saveData="1">
    <textPr codePage="850" sourceFile="C:\Users\es17155931r\Personal\Termoeconomia\ExIOLab2\Ejemplos\tgas\tgas_c0.csv" comma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<sst xmlns="http://schemas.openxmlformats.org/spreadsheetml/2006/main" count="170" uniqueCount="99">
  <si>
    <t>key</t>
  </si>
  <si>
    <t>type</t>
  </si>
  <si>
    <t>RESOURCE</t>
  </si>
  <si>
    <t>INTERNAL</t>
  </si>
  <si>
    <t>OUTPUT</t>
  </si>
  <si>
    <t>description</t>
  </si>
  <si>
    <t>fuel</t>
  </si>
  <si>
    <t>product</t>
  </si>
  <si>
    <t>PRODUCTIVE</t>
  </si>
  <si>
    <t>DISSIPATIVE</t>
  </si>
  <si>
    <t>Reference</t>
  </si>
  <si>
    <t>EXERGY</t>
  </si>
  <si>
    <t>IRREVERSIBILITY</t>
  </si>
  <si>
    <t>Flows</t>
  </si>
  <si>
    <t>Processes</t>
  </si>
  <si>
    <t>Wastes</t>
  </si>
  <si>
    <t>RESOURCES</t>
  </si>
  <si>
    <t>DEFAULT</t>
  </si>
  <si>
    <t>MANUAL</t>
  </si>
  <si>
    <t>WASTES</t>
  </si>
  <si>
    <t>COST</t>
  </si>
  <si>
    <t>recycle</t>
  </si>
  <si>
    <t>B2</t>
  </si>
  <si>
    <t>B3</t>
  </si>
  <si>
    <t>B5</t>
  </si>
  <si>
    <t>B6</t>
  </si>
  <si>
    <t>B9</t>
  </si>
  <si>
    <t>B11</t>
  </si>
  <si>
    <t>B13</t>
  </si>
  <si>
    <t>B14</t>
  </si>
  <si>
    <t>B16</t>
  </si>
  <si>
    <t>B19</t>
  </si>
  <si>
    <t>WASTE</t>
  </si>
  <si>
    <t>Combustor</t>
  </si>
  <si>
    <t>Regenerator</t>
  </si>
  <si>
    <t>B6-B9</t>
  </si>
  <si>
    <t>B3-B2</t>
  </si>
  <si>
    <t>Compressor</t>
  </si>
  <si>
    <t>Turbine</t>
  </si>
  <si>
    <t>B5-B6</t>
  </si>
  <si>
    <t>ICE</t>
  </si>
  <si>
    <t>WHTR</t>
  </si>
  <si>
    <t>Water Heater</t>
  </si>
  <si>
    <t>B13-B14</t>
  </si>
  <si>
    <t>BURN</t>
  </si>
  <si>
    <t>Burner</t>
  </si>
  <si>
    <t>B16-B11</t>
  </si>
  <si>
    <t>HRSG</t>
  </si>
  <si>
    <t>B16+B9-B19</t>
  </si>
  <si>
    <t>STCK</t>
  </si>
  <si>
    <t>Stack</t>
  </si>
  <si>
    <t>Resources</t>
  </si>
  <si>
    <t>FLOW</t>
  </si>
  <si>
    <t>PROCESS</t>
  </si>
  <si>
    <t>width</t>
  </si>
  <si>
    <t>precision</t>
  </si>
  <si>
    <t>unit</t>
  </si>
  <si>
    <t>(kW)</t>
  </si>
  <si>
    <t>EXERGY_COST</t>
  </si>
  <si>
    <t>EXERGY_UNIT_COST</t>
  </si>
  <si>
    <t>(J/J)</t>
  </si>
  <si>
    <t>GENERALIZED_COST</t>
  </si>
  <si>
    <t>GENERALIZED_UNIT_COST</t>
  </si>
  <si>
    <t>DIAGNOSIS</t>
  </si>
  <si>
    <t>NG</t>
  </si>
  <si>
    <t>BD</t>
  </si>
  <si>
    <t>PG</t>
  </si>
  <si>
    <t>WGT</t>
  </si>
  <si>
    <t>WICE</t>
  </si>
  <si>
    <t>QV</t>
  </si>
  <si>
    <t>QHW</t>
  </si>
  <si>
    <t>QG</t>
  </si>
  <si>
    <t>Compressed Air</t>
  </si>
  <si>
    <t>Natural Gas</t>
  </si>
  <si>
    <t>Combustion Gases</t>
  </si>
  <si>
    <t>Work GT</t>
  </si>
  <si>
    <t>Biodiesel</t>
  </si>
  <si>
    <t>Work ICE</t>
  </si>
  <si>
    <t>Steam</t>
  </si>
  <si>
    <t>Propane Gas</t>
  </si>
  <si>
    <t>Hot Water</t>
  </si>
  <si>
    <t>Process Steam</t>
  </si>
  <si>
    <t>Waste Gases</t>
  </si>
  <si>
    <t>NG+B3</t>
  </si>
  <si>
    <t>WGT+WC</t>
  </si>
  <si>
    <t>Work CMP</t>
  </si>
  <si>
    <t>WC</t>
  </si>
  <si>
    <t>GTRB</t>
  </si>
  <si>
    <t>CMP</t>
  </si>
  <si>
    <t>APH</t>
  </si>
  <si>
    <t>CMB</t>
  </si>
  <si>
    <t>BD+B14-B13</t>
  </si>
  <si>
    <t>GEN</t>
  </si>
  <si>
    <t>WICE+WGT</t>
  </si>
  <si>
    <t>WN</t>
  </si>
  <si>
    <t>Generator</t>
  </si>
  <si>
    <t>Net Power</t>
  </si>
  <si>
    <t>WICE+B11</t>
  </si>
  <si>
    <t>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</si>
</sst>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514350</xdr:colOff>
      <xdr:row>0</xdr:row>
      <xdr:rowOff>123825</xdr:rowOff>
    </xdr:from>
    <xdr:to>
      <xdr:col>12</xdr:col>
      <xdr:colOff>571500</xdr:colOff>
      <xdr:row>33</xdr:row>
      <xdr:rowOff>133350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3CE3756-CB85-D741-162A-B39FFD37D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" y="123825"/>
          <a:ext cx="9201150" cy="6296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flows" connectionId="1" xr16:uid="{00000000-0016-0000-02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olygen_processes_1" connectionId="4" xr16:uid="{00000000-0016-0000-0300-000001000000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processes" connectionId="2" xr16:uid="{00000000-0016-0000-0300-000002000000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sample" connectionId="3" xr16:uid="{00000000-0016-0000-0400-000003000000}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gas_c0" connectionId="5" xr16:uid="{00000000-0016-0000-0500-000004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C00000"/>
  </sheetPr>
  <dimension ref="A1"/>
  <sheetViews>
    <sheetView showGridLines="0" workbookViewId="0">
      <selection activeCell="N10" sqref="N10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C00000"/>
  </sheetPr>
  <dimension ref="A1:D7"/>
  <sheetViews>
    <sheetView workbookViewId="0">
      <selection activeCell="D8" sqref="D8"/>
    </sheetView>
  </sheetViews>
  <sheetFormatPr baseColWidth="10" defaultRowHeight="15" x14ac:dyDescent="0.25"/>
  <cols>
    <col min="3" max="3" width="15.85546875" customWidth="1"/>
    <col min="4" max="4" width="13.42578125" customWidth="1"/>
  </cols>
  <sheetData>
    <row r="1" spans="1:4" x14ac:dyDescent="0.25">
      <c r="A1" s="1" t="s">
        <v>13</v>
      </c>
      <c r="B1" s="1" t="s">
        <v>14</v>
      </c>
      <c r="C1" s="1" t="s">
        <v>15</v>
      </c>
      <c r="D1" s="1" t="s">
        <v>51</v>
      </c>
    </row>
    <row r="2" spans="1:4" x14ac:dyDescent="0.25">
      <c r="A2" t="s">
        <v>16</v>
      </c>
      <c r="B2" t="s">
        <v>8</v>
      </c>
      <c r="C2" t="s">
        <v>17</v>
      </c>
      <c r="D2" t="s">
        <v>52</v>
      </c>
    </row>
    <row r="3" spans="1:4" x14ac:dyDescent="0.25">
      <c r="A3" t="s">
        <v>3</v>
      </c>
      <c r="B3" t="s">
        <v>9</v>
      </c>
      <c r="C3" t="s">
        <v>18</v>
      </c>
      <c r="D3" t="s">
        <v>53</v>
      </c>
    </row>
    <row r="4" spans="1:4" x14ac:dyDescent="0.25">
      <c r="A4" t="s">
        <v>4</v>
      </c>
      <c r="C4" t="s">
        <v>2</v>
      </c>
    </row>
    <row r="5" spans="1:4" x14ac:dyDescent="0.25">
      <c r="A5" t="s">
        <v>19</v>
      </c>
      <c r="C5" t="s">
        <v>11</v>
      </c>
    </row>
    <row r="6" spans="1:4" x14ac:dyDescent="0.25">
      <c r="C6" t="s">
        <v>20</v>
      </c>
    </row>
    <row r="7" spans="1:4" x14ac:dyDescent="0.25">
      <c r="C7" t="s">
        <v>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C21"/>
  <sheetViews>
    <sheetView workbookViewId="0">
      <selection activeCell="B12" sqref="B12"/>
    </sheetView>
  </sheetViews>
  <sheetFormatPr baseColWidth="10" defaultRowHeight="15" x14ac:dyDescent="0.25"/>
  <cols>
    <col min="1" max="1" width="6.28515625" customWidth="1"/>
    <col min="2" max="2" width="11" customWidth="1"/>
    <col min="3" max="3" width="18.140625" customWidth="1"/>
    <col min="4" max="4" width="10.140625" customWidth="1"/>
  </cols>
  <sheetData>
    <row r="1" spans="1:3" x14ac:dyDescent="0.25">
      <c r="A1" s="1" t="s">
        <v>0</v>
      </c>
      <c r="B1" s="1" t="s">
        <v>1</v>
      </c>
      <c r="C1" s="1" t="s">
        <v>5</v>
      </c>
    </row>
    <row r="2" spans="1:3" x14ac:dyDescent="0.25">
      <c r="A2" t="s">
        <v>22</v>
      </c>
      <c r="B2" t="s">
        <v>3</v>
      </c>
      <c r="C2" t="s">
        <v>72</v>
      </c>
    </row>
    <row r="3" spans="1:3" x14ac:dyDescent="0.25">
      <c r="A3" t="s">
        <v>23</v>
      </c>
      <c r="B3" t="s">
        <v>3</v>
      </c>
      <c r="C3" t="s">
        <v>72</v>
      </c>
    </row>
    <row r="4" spans="1:3" x14ac:dyDescent="0.25">
      <c r="A4" t="s">
        <v>64</v>
      </c>
      <c r="B4" t="s">
        <v>2</v>
      </c>
      <c r="C4" t="s">
        <v>73</v>
      </c>
    </row>
    <row r="5" spans="1:3" x14ac:dyDescent="0.25">
      <c r="A5" t="s">
        <v>24</v>
      </c>
      <c r="B5" t="s">
        <v>3</v>
      </c>
      <c r="C5" t="s">
        <v>74</v>
      </c>
    </row>
    <row r="6" spans="1:3" x14ac:dyDescent="0.25">
      <c r="A6" t="s">
        <v>25</v>
      </c>
      <c r="B6" t="s">
        <v>3</v>
      </c>
      <c r="C6" t="s">
        <v>74</v>
      </c>
    </row>
    <row r="7" spans="1:3" x14ac:dyDescent="0.25">
      <c r="A7" t="s">
        <v>86</v>
      </c>
      <c r="B7" t="s">
        <v>3</v>
      </c>
      <c r="C7" t="s">
        <v>85</v>
      </c>
    </row>
    <row r="8" spans="1:3" x14ac:dyDescent="0.25">
      <c r="A8" t="s">
        <v>67</v>
      </c>
      <c r="B8" t="s">
        <v>3</v>
      </c>
      <c r="C8" t="s">
        <v>75</v>
      </c>
    </row>
    <row r="9" spans="1:3" x14ac:dyDescent="0.25">
      <c r="A9" t="s">
        <v>26</v>
      </c>
      <c r="B9" t="s">
        <v>3</v>
      </c>
      <c r="C9" t="s">
        <v>74</v>
      </c>
    </row>
    <row r="10" spans="1:3" x14ac:dyDescent="0.25">
      <c r="A10" t="s">
        <v>65</v>
      </c>
      <c r="B10" t="s">
        <v>2</v>
      </c>
      <c r="C10" t="s">
        <v>76</v>
      </c>
    </row>
    <row r="11" spans="1:3" x14ac:dyDescent="0.25">
      <c r="A11" t="s">
        <v>27</v>
      </c>
      <c r="B11" t="s">
        <v>3</v>
      </c>
      <c r="C11" t="s">
        <v>74</v>
      </c>
    </row>
    <row r="12" spans="1:3" x14ac:dyDescent="0.25">
      <c r="A12" t="s">
        <v>68</v>
      </c>
      <c r="B12" t="s">
        <v>3</v>
      </c>
      <c r="C12" t="s">
        <v>77</v>
      </c>
    </row>
    <row r="13" spans="1:3" x14ac:dyDescent="0.25">
      <c r="A13" t="s">
        <v>28</v>
      </c>
      <c r="B13" t="s">
        <v>3</v>
      </c>
      <c r="C13" t="s">
        <v>78</v>
      </c>
    </row>
    <row r="14" spans="1:3" x14ac:dyDescent="0.25">
      <c r="A14" t="s">
        <v>29</v>
      </c>
      <c r="B14" t="s">
        <v>3</v>
      </c>
      <c r="C14" t="s">
        <v>78</v>
      </c>
    </row>
    <row r="15" spans="1:3" x14ac:dyDescent="0.25">
      <c r="A15" t="s">
        <v>66</v>
      </c>
      <c r="B15" t="s">
        <v>2</v>
      </c>
      <c r="C15" t="s">
        <v>79</v>
      </c>
    </row>
    <row r="16" spans="1:3" x14ac:dyDescent="0.25">
      <c r="A16" t="s">
        <v>30</v>
      </c>
      <c r="B16" t="s">
        <v>3</v>
      </c>
      <c r="C16" t="s">
        <v>74</v>
      </c>
    </row>
    <row r="17" spans="1:3" x14ac:dyDescent="0.25">
      <c r="A17" t="s">
        <v>70</v>
      </c>
      <c r="B17" t="s">
        <v>4</v>
      </c>
      <c r="C17" t="s">
        <v>80</v>
      </c>
    </row>
    <row r="18" spans="1:3" x14ac:dyDescent="0.25">
      <c r="A18" t="s">
        <v>69</v>
      </c>
      <c r="B18" t="s">
        <v>4</v>
      </c>
      <c r="C18" t="s">
        <v>81</v>
      </c>
    </row>
    <row r="19" spans="1:3" x14ac:dyDescent="0.25">
      <c r="A19" t="s">
        <v>31</v>
      </c>
      <c r="B19" t="s">
        <v>3</v>
      </c>
      <c r="C19" t="s">
        <v>74</v>
      </c>
    </row>
    <row r="20" spans="1:3" x14ac:dyDescent="0.25">
      <c r="A20" t="s">
        <v>94</v>
      </c>
      <c r="B20" t="s">
        <v>4</v>
      </c>
      <c r="C20" t="s">
        <v>96</v>
      </c>
    </row>
    <row r="21" spans="1:3" x14ac:dyDescent="0.25">
      <c r="A21" t="s">
        <v>71</v>
      </c>
      <c r="B21" t="s">
        <v>32</v>
      </c>
      <c r="C21" t="s">
        <v>82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Validate!$A$2:$A$5</xm:f>
          </x14:formula1>
          <xm:sqref>B2:B21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E11"/>
  <sheetViews>
    <sheetView workbookViewId="0">
      <selection activeCell="D7" sqref="D7"/>
    </sheetView>
  </sheetViews>
  <sheetFormatPr baseColWidth="10" defaultRowHeight="15" x14ac:dyDescent="0.25"/>
  <cols>
    <col min="1" max="1" width="6.42578125" bestFit="1" customWidth="1"/>
    <col min="2" max="2" width="13.28515625" customWidth="1"/>
    <col min="3" max="3" width="13.5703125" customWidth="1"/>
    <col min="4" max="4" width="20.28515625" customWidth="1"/>
    <col min="5" max="5" width="20.140625" customWidth="1"/>
    <col min="6" max="6" width="10.140625" customWidth="1"/>
    <col min="7" max="7" width="6.42578125" bestFit="1" customWidth="1"/>
    <col min="8" max="8" width="12.85546875" bestFit="1" customWidth="1"/>
    <col min="9" max="9" width="11.140625" bestFit="1" customWidth="1"/>
    <col min="10" max="10" width="17.85546875" bestFit="1" customWidth="1"/>
    <col min="11" max="11" width="12.28515625" bestFit="1" customWidth="1"/>
  </cols>
  <sheetData>
    <row r="1" spans="1:5" x14ac:dyDescent="0.25">
      <c r="A1" s="1" t="s">
        <v>0</v>
      </c>
      <c r="B1" s="1" t="s">
        <v>1</v>
      </c>
      <c r="C1" s="1" t="s">
        <v>6</v>
      </c>
      <c r="D1" s="1" t="s">
        <v>7</v>
      </c>
      <c r="E1" s="1" t="s">
        <v>5</v>
      </c>
    </row>
    <row r="2" spans="1:5" x14ac:dyDescent="0.25">
      <c r="A2" t="s">
        <v>90</v>
      </c>
      <c r="B2" t="s">
        <v>8</v>
      </c>
      <c r="C2" t="s">
        <v>83</v>
      </c>
      <c r="D2" t="s">
        <v>24</v>
      </c>
      <c r="E2" t="s">
        <v>33</v>
      </c>
    </row>
    <row r="3" spans="1:5" x14ac:dyDescent="0.25">
      <c r="A3" t="s">
        <v>89</v>
      </c>
      <c r="B3" t="s">
        <v>8</v>
      </c>
      <c r="C3" t="s">
        <v>35</v>
      </c>
      <c r="D3" t="s">
        <v>36</v>
      </c>
      <c r="E3" t="s">
        <v>34</v>
      </c>
    </row>
    <row r="4" spans="1:5" x14ac:dyDescent="0.25">
      <c r="A4" t="s">
        <v>88</v>
      </c>
      <c r="B4" t="s">
        <v>8</v>
      </c>
      <c r="C4" t="s">
        <v>86</v>
      </c>
      <c r="D4" t="s">
        <v>22</v>
      </c>
      <c r="E4" t="s">
        <v>37</v>
      </c>
    </row>
    <row r="5" spans="1:5" x14ac:dyDescent="0.25">
      <c r="A5" t="s">
        <v>87</v>
      </c>
      <c r="B5" t="s">
        <v>8</v>
      </c>
      <c r="C5" t="s">
        <v>39</v>
      </c>
      <c r="D5" t="s">
        <v>84</v>
      </c>
      <c r="E5" t="s">
        <v>38</v>
      </c>
    </row>
    <row r="6" spans="1:5" x14ac:dyDescent="0.25">
      <c r="A6" t="s">
        <v>40</v>
      </c>
      <c r="B6" t="s">
        <v>8</v>
      </c>
      <c r="C6" t="s">
        <v>91</v>
      </c>
      <c r="D6" t="s">
        <v>97</v>
      </c>
      <c r="E6" t="s">
        <v>40</v>
      </c>
    </row>
    <row r="7" spans="1:5" x14ac:dyDescent="0.25">
      <c r="A7" t="s">
        <v>41</v>
      </c>
      <c r="B7" t="s">
        <v>8</v>
      </c>
      <c r="C7" t="s">
        <v>43</v>
      </c>
      <c r="D7" t="s">
        <v>70</v>
      </c>
      <c r="E7" t="s">
        <v>42</v>
      </c>
    </row>
    <row r="8" spans="1:5" x14ac:dyDescent="0.25">
      <c r="A8" t="s">
        <v>44</v>
      </c>
      <c r="B8" t="s">
        <v>8</v>
      </c>
      <c r="C8" t="s">
        <v>66</v>
      </c>
      <c r="D8" t="s">
        <v>46</v>
      </c>
      <c r="E8" t="s">
        <v>45</v>
      </c>
    </row>
    <row r="9" spans="1:5" x14ac:dyDescent="0.25">
      <c r="A9" t="s">
        <v>47</v>
      </c>
      <c r="B9" t="s">
        <v>8</v>
      </c>
      <c r="C9" t="s">
        <v>48</v>
      </c>
      <c r="D9" t="s">
        <v>69</v>
      </c>
      <c r="E9" t="s">
        <v>47</v>
      </c>
    </row>
    <row r="10" spans="1:5" x14ac:dyDescent="0.25">
      <c r="A10" t="s">
        <v>92</v>
      </c>
      <c r="B10" t="s">
        <v>8</v>
      </c>
      <c r="C10" t="s">
        <v>93</v>
      </c>
      <c r="D10" t="s">
        <v>94</v>
      </c>
      <c r="E10" t="s">
        <v>95</v>
      </c>
    </row>
    <row r="11" spans="1:5" x14ac:dyDescent="0.25">
      <c r="A11" t="s">
        <v>49</v>
      </c>
      <c r="B11" t="s">
        <v>9</v>
      </c>
      <c r="C11" t="s">
        <v>31</v>
      </c>
      <c r="D11" t="s">
        <v>71</v>
      </c>
      <c r="E11" t="s">
        <v>50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Validate!$B$2:$B$3</xm:f>
          </x14:formula1>
          <xm:sqref>B2:B9 B11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B21"/>
  <sheetViews>
    <sheetView workbookViewId="0">
      <selection activeCell="B14" sqref="B14"/>
    </sheetView>
  </sheetViews>
  <sheetFormatPr baseColWidth="10" defaultRowHeight="15" x14ac:dyDescent="0.25"/>
  <cols>
    <col min="1" max="1" width="6" customWidth="1"/>
  </cols>
  <sheetData>
    <row r="1" spans="1:2" x14ac:dyDescent="0.25">
      <c r="A1" s="1" t="s">
        <v>0</v>
      </c>
      <c r="B1" s="1" t="s">
        <v>10</v>
      </c>
    </row>
    <row r="2" spans="1:2" x14ac:dyDescent="0.25">
      <c r="A2" t="str">
        <f>Flows!A2</f>
        <v>B2</v>
      </c>
      <c r="B2">
        <v>26204</v>
      </c>
    </row>
    <row r="3" spans="1:2" x14ac:dyDescent="0.25">
      <c r="A3" t="str">
        <f>Flows!A3</f>
        <v>B3</v>
      </c>
      <c r="B3">
        <v>41732</v>
      </c>
    </row>
    <row r="4" spans="1:2" x14ac:dyDescent="0.25">
      <c r="A4" t="str">
        <f>Flows!A4</f>
        <v>NG</v>
      </c>
      <c r="B4">
        <v>78643</v>
      </c>
    </row>
    <row r="5" spans="1:2" x14ac:dyDescent="0.25">
      <c r="A5" t="str">
        <f>Flows!A5</f>
        <v>B5</v>
      </c>
      <c r="B5">
        <v>94210</v>
      </c>
    </row>
    <row r="6" spans="1:2" x14ac:dyDescent="0.25">
      <c r="A6" t="str">
        <f>Flows!A6</f>
        <v>B6</v>
      </c>
      <c r="B6">
        <v>33696</v>
      </c>
    </row>
    <row r="7" spans="1:2" x14ac:dyDescent="0.25">
      <c r="A7" t="str">
        <f>Flows!A7</f>
        <v>WC</v>
      </c>
      <c r="B7">
        <v>27939</v>
      </c>
    </row>
    <row r="8" spans="1:2" x14ac:dyDescent="0.25">
      <c r="A8" t="str">
        <f>Flows!A8</f>
        <v>WGT</v>
      </c>
      <c r="B8">
        <v>30000</v>
      </c>
    </row>
    <row r="9" spans="1:2" x14ac:dyDescent="0.25">
      <c r="A9" t="str">
        <f>Flows!A9</f>
        <v>B9</v>
      </c>
      <c r="B9">
        <v>16271</v>
      </c>
    </row>
    <row r="10" spans="1:2" x14ac:dyDescent="0.25">
      <c r="A10" t="str">
        <f>Flows!A10</f>
        <v>BD</v>
      </c>
      <c r="B10">
        <v>27568</v>
      </c>
    </row>
    <row r="11" spans="1:2" x14ac:dyDescent="0.25">
      <c r="A11" t="str">
        <f>Flows!A11</f>
        <v>B11</v>
      </c>
      <c r="B11">
        <v>3949</v>
      </c>
    </row>
    <row r="12" spans="1:2" x14ac:dyDescent="0.25">
      <c r="A12" t="str">
        <f>Flows!A12</f>
        <v>WICE</v>
      </c>
      <c r="B12">
        <v>10000</v>
      </c>
    </row>
    <row r="13" spans="1:2" x14ac:dyDescent="0.25">
      <c r="A13" t="str">
        <f>Flows!A13</f>
        <v>B13</v>
      </c>
      <c r="B13">
        <v>3116</v>
      </c>
    </row>
    <row r="14" spans="1:2" x14ac:dyDescent="0.25">
      <c r="A14" t="str">
        <f>Flows!A14</f>
        <v>B14</v>
      </c>
      <c r="B14">
        <v>2357</v>
      </c>
    </row>
    <row r="15" spans="1:2" x14ac:dyDescent="0.25">
      <c r="A15" t="str">
        <f>Flows!A15</f>
        <v>PG</v>
      </c>
      <c r="B15">
        <v>10717</v>
      </c>
    </row>
    <row r="16" spans="1:2" x14ac:dyDescent="0.25">
      <c r="A16" t="str">
        <f>Flows!A16</f>
        <v>B16</v>
      </c>
      <c r="B16">
        <v>10073</v>
      </c>
    </row>
    <row r="17" spans="1:2" x14ac:dyDescent="0.25">
      <c r="A17" t="str">
        <f>Flows!A17</f>
        <v>QHW</v>
      </c>
      <c r="B17">
        <v>375</v>
      </c>
    </row>
    <row r="18" spans="1:2" x14ac:dyDescent="0.25">
      <c r="A18" t="str">
        <f>Flows!A18</f>
        <v>QV</v>
      </c>
      <c r="B18">
        <v>14060</v>
      </c>
    </row>
    <row r="19" spans="1:2" x14ac:dyDescent="0.25">
      <c r="A19" t="str">
        <f>Flows!A19</f>
        <v>B19</v>
      </c>
      <c r="B19">
        <v>4129</v>
      </c>
    </row>
    <row r="20" spans="1:2" x14ac:dyDescent="0.25">
      <c r="A20" t="s">
        <v>94</v>
      </c>
      <c r="B20">
        <v>40000</v>
      </c>
    </row>
    <row r="21" spans="1:2" x14ac:dyDescent="0.25">
      <c r="A21" t="str">
        <f>Flows!A21</f>
        <v>QG</v>
      </c>
      <c r="B21">
        <v>4129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9951D-5B3C-4252-B717-F2ED3D297E2F}">
  <dimension ref="A1:D7"/>
  <sheetViews>
    <sheetView workbookViewId="0">
      <selection activeCell="A3" sqref="A3"/>
    </sheetView>
  </sheetViews>
  <sheetFormatPr baseColWidth="10" defaultRowHeight="15" x14ac:dyDescent="0.25"/>
  <cols>
    <col min="1" max="1" width="24.85546875" customWidth="1"/>
    <col min="2" max="4" width="9" customWidth="1"/>
  </cols>
  <sheetData>
    <row r="1" spans="1:4" x14ac:dyDescent="0.25">
      <c r="A1" s="1" t="s">
        <v>0</v>
      </c>
      <c r="B1" s="1" t="s">
        <v>54</v>
      </c>
      <c r="C1" s="1" t="s">
        <v>55</v>
      </c>
      <c r="D1" s="1" t="s">
        <v>56</v>
      </c>
    </row>
    <row r="2" spans="1:4" x14ac:dyDescent="0.25">
      <c r="A2" t="s">
        <v>11</v>
      </c>
      <c r="B2">
        <v>10</v>
      </c>
      <c r="C2">
        <v>2</v>
      </c>
      <c r="D2" t="s">
        <v>57</v>
      </c>
    </row>
    <row r="3" spans="1:4" x14ac:dyDescent="0.25">
      <c r="A3" t="s">
        <v>58</v>
      </c>
      <c r="B3">
        <v>10</v>
      </c>
      <c r="C3">
        <v>2</v>
      </c>
      <c r="D3" t="s">
        <v>57</v>
      </c>
    </row>
    <row r="4" spans="1:4" x14ac:dyDescent="0.25">
      <c r="A4" t="s">
        <v>59</v>
      </c>
      <c r="B4">
        <v>10</v>
      </c>
      <c r="C4">
        <v>4</v>
      </c>
      <c r="D4" t="s">
        <v>60</v>
      </c>
    </row>
    <row r="5" spans="1:4" x14ac:dyDescent="0.25">
      <c r="A5" t="s">
        <v>61</v>
      </c>
      <c r="B5">
        <v>10</v>
      </c>
      <c r="C5">
        <v>2</v>
      </c>
      <c r="D5" t="s">
        <v>57</v>
      </c>
    </row>
    <row r="6" spans="1:4" x14ac:dyDescent="0.25">
      <c r="A6" t="s">
        <v>62</v>
      </c>
      <c r="B6">
        <v>10</v>
      </c>
      <c r="C6">
        <v>4</v>
      </c>
      <c r="D6" t="s">
        <v>60</v>
      </c>
    </row>
    <row r="7" spans="1:4" x14ac:dyDescent="0.25">
      <c r="A7" t="s">
        <v>63</v>
      </c>
      <c r="B7">
        <v>10</v>
      </c>
      <c r="C7">
        <v>3</v>
      </c>
      <c r="D7" t="s">
        <v>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/>
  <dimension ref="A1:D4"/>
  <sheetViews>
    <sheetView tabSelected="1" workbookViewId="0">
      <selection activeCell="C2" sqref="C2"/>
    </sheetView>
  </sheetViews>
  <sheetFormatPr baseColWidth="10" defaultRowHeight="15" x14ac:dyDescent="0.25"/>
  <cols>
    <col min="3" max="3" width="9.85546875" customWidth="1"/>
  </cols>
  <sheetData>
    <row r="1" spans="1:4" x14ac:dyDescent="0.25">
      <c r="A1" s="1" t="s">
        <v>0</v>
      </c>
      <c r="B1" s="1" t="s">
        <v>1</v>
      </c>
      <c r="C1" s="1" t="s">
        <v>98</v>
      </c>
      <c r="D1" s="1" t="s">
        <v>76</v>
      </c>
    </row>
    <row r="2" spans="1:4" x14ac:dyDescent="0.25">
      <c r="A2" t="s">
        <v>64</v>
      </c>
      <c r="B2" t="s">
        <v>52</v>
      </c>
      <c r="C2">
        <v>1.284</v>
      </c>
      <c r="D2">
        <v>1.284</v>
      </c>
    </row>
    <row r="3" spans="1:4" x14ac:dyDescent="0.25">
      <c r="A3" t="s">
        <v>65</v>
      </c>
      <c r="B3" t="s">
        <v>52</v>
      </c>
      <c r="C3">
        <v>1.4750000000000001</v>
      </c>
      <c r="D3">
        <v>0.45</v>
      </c>
    </row>
    <row r="4" spans="1:4" x14ac:dyDescent="0.25">
      <c r="A4" t="s">
        <v>66</v>
      </c>
      <c r="B4" t="s">
        <v>52</v>
      </c>
      <c r="C4">
        <v>1.3460000000000001</v>
      </c>
      <c r="D4" s="2">
        <v>1.3460000000000001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9"/>
  <dimension ref="A1:C2"/>
  <sheetViews>
    <sheetView workbookViewId="0">
      <selection activeCell="A2" sqref="A2"/>
    </sheetView>
  </sheetViews>
  <sheetFormatPr baseColWidth="10" defaultRowHeight="15" x14ac:dyDescent="0.25"/>
  <cols>
    <col min="2" max="2" width="15.42578125" customWidth="1"/>
    <col min="3" max="3" width="11.140625" customWidth="1"/>
  </cols>
  <sheetData>
    <row r="1" spans="1:3" x14ac:dyDescent="0.25">
      <c r="A1" s="1" t="s">
        <v>0</v>
      </c>
      <c r="B1" s="1" t="s">
        <v>1</v>
      </c>
      <c r="C1" s="1" t="s">
        <v>21</v>
      </c>
    </row>
    <row r="2" spans="1:3" x14ac:dyDescent="0.25">
      <c r="A2" t="s">
        <v>71</v>
      </c>
      <c r="B2" t="s">
        <v>17</v>
      </c>
      <c r="C2">
        <v>0</v>
      </c>
    </row>
  </sheetData>
  <dataValidations count="1">
    <dataValidation type="decimal" errorStyle="warning" allowBlank="1" showInputMessage="1" showErrorMessage="1" errorTitle="Waste Recycling" error="Waste recycling ratio must be between 0 and 1" sqref="C2" xr:uid="{00000000-0002-0000-0600-000000000000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Waste Allocation Type" error="Invalid Waste Allocation Type" xr:uid="{00000000-0002-0000-0600-000001000000}">
          <x14:formula1>
            <xm:f>Validate!$C$2:$C$7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5</vt:i4>
      </vt:variant>
    </vt:vector>
  </HeadingPairs>
  <TitlesOfParts>
    <vt:vector size="13" baseType="lpstr">
      <vt:lpstr>PhysicalDiagram</vt:lpstr>
      <vt:lpstr>Validate</vt:lpstr>
      <vt:lpstr>Flows</vt:lpstr>
      <vt:lpstr>Processes</vt:lpstr>
      <vt:lpstr>Exergy</vt:lpstr>
      <vt:lpstr>Format</vt:lpstr>
      <vt:lpstr>ResourcesCost</vt:lpstr>
      <vt:lpstr>WasteDefinition</vt:lpstr>
      <vt:lpstr>Flows!cgam_flows</vt:lpstr>
      <vt:lpstr>Processes!cgam_processes</vt:lpstr>
      <vt:lpstr>Exergy!cgam_sample</vt:lpstr>
      <vt:lpstr>Processes!polygen_processes_1</vt:lpstr>
      <vt:lpstr>ResourcesCost!tgas_c0</vt:lpstr>
    </vt:vector>
  </TitlesOfParts>
  <Company>ENEL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Torres Cuadra, Cesar</dc:creator>
  <cp:lastModifiedBy>César Torres Cuadra</cp:lastModifiedBy>
  <dcterms:created xsi:type="dcterms:W3CDTF">2020-06-03T07:18:00Z</dcterms:created>
  <dcterms:modified xsi:type="dcterms:W3CDTF">2025-10-30T16:51:08Z</dcterms:modified>
</cp:coreProperties>
</file>