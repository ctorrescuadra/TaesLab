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torr\Documents\Proyectos\TaesLab\Examples\orcvcr\"/>
    </mc:Choice>
  </mc:AlternateContent>
  <xr:revisionPtr revIDLastSave="0" documentId="13_ncr:1_{D92745B5-8AF2-4B84-8AD4-49D67BBA4C8E}" xr6:coauthVersionLast="47" xr6:coauthVersionMax="47" xr10:uidLastSave="{00000000-0000-0000-0000-000000000000}"/>
  <bookViews>
    <workbookView xWindow="-120" yWindow="-120" windowWidth="29040" windowHeight="15720" activeTab="4" xr2:uid="{E29BBF69-888A-4B0D-A36F-5F6BD99DC033}"/>
  </bookViews>
  <sheets>
    <sheet name="Physical Diagram" sheetId="1" r:id="rId1"/>
    <sheet name="Validate" sheetId="2" r:id="rId2"/>
    <sheet name="Flows" sheetId="3" r:id="rId3"/>
    <sheet name="Processes" sheetId="4" r:id="rId4"/>
    <sheet name="Exergy" sheetId="6" r:id="rId5"/>
    <sheet name="Format" sheetId="5" r:id="rId6"/>
    <sheet name="WasteDefinition" sheetId="7" r:id="rId7"/>
    <sheet name="REF" sheetId="8" r:id="rId8"/>
    <sheet name="ETAT75" sheetId="9" r:id="rId9"/>
    <sheet name="ETAC75" sheetId="10" r:id="rId10"/>
    <sheet name="TCND35" sheetId="11" r:id="rId11"/>
    <sheet name="TBLR85" sheetId="12" r:id="rId12"/>
    <sheet name="WN0" sheetId="13" r:id="rId13"/>
    <sheet name="WN200" sheetId="14" r:id="rId14"/>
  </sheets>
  <definedNames>
    <definedName name="DATOS" localSheetId="4">Exergy!#REF!</definedName>
    <definedName name="tgas_fmt" localSheetId="5">Format!$A$1:$D$7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6" l="1"/>
  <c r="D16" i="6"/>
  <c r="E16" i="6"/>
  <c r="F16" i="6"/>
  <c r="G16" i="6"/>
  <c r="H16" i="6"/>
  <c r="B16" i="6"/>
  <c r="C17" i="6"/>
  <c r="D17" i="6"/>
  <c r="E17" i="6"/>
  <c r="F17" i="6"/>
  <c r="G17" i="6"/>
  <c r="H17" i="6"/>
  <c r="B17" i="6"/>
  <c r="G17" i="8"/>
  <c r="B1" i="14"/>
  <c r="C1" i="14"/>
  <c r="D1" i="14"/>
  <c r="E1" i="14"/>
  <c r="F1" i="14"/>
  <c r="G1" i="14"/>
  <c r="A2" i="14"/>
  <c r="A3" i="14"/>
  <c r="A4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" i="14"/>
  <c r="A2" i="13"/>
  <c r="A3" i="13"/>
  <c r="A4" i="13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B1" i="13"/>
  <c r="C1" i="13"/>
  <c r="D1" i="13"/>
  <c r="E1" i="13"/>
  <c r="F1" i="13"/>
  <c r="G1" i="13"/>
  <c r="A1" i="13"/>
  <c r="B1" i="12"/>
  <c r="C1" i="12"/>
  <c r="D1" i="12"/>
  <c r="E1" i="12"/>
  <c r="F1" i="12"/>
  <c r="G1" i="12"/>
  <c r="A2" i="12"/>
  <c r="A3" i="12"/>
  <c r="A4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" i="12"/>
  <c r="D3" i="6"/>
  <c r="E3" i="6"/>
  <c r="F3" i="6"/>
  <c r="G3" i="6"/>
  <c r="H3" i="6"/>
  <c r="D4" i="6"/>
  <c r="E4" i="6"/>
  <c r="F4" i="6"/>
  <c r="G4" i="6"/>
  <c r="H4" i="6"/>
  <c r="D5" i="6"/>
  <c r="E5" i="6"/>
  <c r="F5" i="6"/>
  <c r="G5" i="6"/>
  <c r="H5" i="6"/>
  <c r="D6" i="6"/>
  <c r="E6" i="6"/>
  <c r="F6" i="6"/>
  <c r="G6" i="6"/>
  <c r="H6" i="6"/>
  <c r="D7" i="6"/>
  <c r="E7" i="6"/>
  <c r="F7" i="6"/>
  <c r="G7" i="6"/>
  <c r="H7" i="6"/>
  <c r="D8" i="6"/>
  <c r="E8" i="6"/>
  <c r="F8" i="6"/>
  <c r="G8" i="6"/>
  <c r="H8" i="6"/>
  <c r="D9" i="6"/>
  <c r="E9" i="6"/>
  <c r="F9" i="6"/>
  <c r="G9" i="6"/>
  <c r="H9" i="6"/>
  <c r="D10" i="6"/>
  <c r="E10" i="6"/>
  <c r="F10" i="6"/>
  <c r="G10" i="6"/>
  <c r="H10" i="6"/>
  <c r="D11" i="6"/>
  <c r="E11" i="6"/>
  <c r="F11" i="6"/>
  <c r="G11" i="6"/>
  <c r="H11" i="6"/>
  <c r="D12" i="6"/>
  <c r="E12" i="6"/>
  <c r="F12" i="6"/>
  <c r="G12" i="6"/>
  <c r="H12" i="6"/>
  <c r="D13" i="6"/>
  <c r="E13" i="6"/>
  <c r="F13" i="6"/>
  <c r="G13" i="6"/>
  <c r="H13" i="6"/>
  <c r="D14" i="6"/>
  <c r="E14" i="6"/>
  <c r="F14" i="6"/>
  <c r="G14" i="6"/>
  <c r="H14" i="6"/>
  <c r="D15" i="6"/>
  <c r="E15" i="6"/>
  <c r="F15" i="6"/>
  <c r="G15" i="6"/>
  <c r="H15" i="6"/>
  <c r="H2" i="6"/>
  <c r="G2" i="6"/>
  <c r="F2" i="6"/>
  <c r="E2" i="6"/>
  <c r="D2" i="6"/>
  <c r="B1" i="11"/>
  <c r="C1" i="11"/>
  <c r="D1" i="11"/>
  <c r="E1" i="11"/>
  <c r="F1" i="11"/>
  <c r="G1" i="11"/>
  <c r="A2" i="11"/>
  <c r="A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" i="11"/>
  <c r="B1" i="10"/>
  <c r="C1" i="10"/>
  <c r="D1" i="10"/>
  <c r="E1" i="10"/>
  <c r="F1" i="10"/>
  <c r="G1" i="10"/>
  <c r="A2" i="10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" i="10"/>
  <c r="C3" i="6"/>
  <c r="C4" i="6"/>
  <c r="C5" i="6"/>
  <c r="C6" i="6"/>
  <c r="C7" i="6"/>
  <c r="C8" i="6"/>
  <c r="C9" i="6"/>
  <c r="C10" i="6"/>
  <c r="C11" i="6"/>
  <c r="C12" i="6"/>
  <c r="C13" i="6"/>
  <c r="C14" i="6"/>
  <c r="C15" i="6"/>
  <c r="C2" i="6"/>
  <c r="B1" i="9"/>
  <c r="C1" i="9"/>
  <c r="D1" i="9"/>
  <c r="E1" i="9"/>
  <c r="F1" i="9"/>
  <c r="G1" i="9"/>
  <c r="A2" i="9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" i="9"/>
  <c r="B3" i="6"/>
  <c r="B4" i="6"/>
  <c r="B5" i="6"/>
  <c r="B6" i="6"/>
  <c r="B7" i="6"/>
  <c r="B8" i="6"/>
  <c r="B9" i="6"/>
  <c r="B10" i="6"/>
  <c r="B11" i="6"/>
  <c r="B12" i="6"/>
  <c r="B13" i="6"/>
  <c r="B14" i="6"/>
  <c r="B15" i="6"/>
  <c r="B2" i="6"/>
  <c r="A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" i="8"/>
  <c r="A3" i="7"/>
  <c r="A2" i="7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4000000}" name="tgas_fmt" type="6" refreshedVersion="6" deleted="1" background="1" saveData="1">
    <textPr codePage="850" sourceFile="C:\Users\es17155931r\Personal\Termoeconomia\ExIOLab2\Ejemplos\tgas\tgas_fmt.csv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<sst xmlns="http://schemas.openxmlformats.org/spreadsheetml/2006/main" count="133" uniqueCount="90">
  <si>
    <t>Flows</t>
  </si>
  <si>
    <t>Processes</t>
  </si>
  <si>
    <t>Wastes</t>
  </si>
  <si>
    <t>Resources</t>
  </si>
  <si>
    <t>RESOURCE</t>
  </si>
  <si>
    <t>PRODUCTIVE</t>
  </si>
  <si>
    <t>DEFAULT</t>
  </si>
  <si>
    <t>FLOW</t>
  </si>
  <si>
    <t>INTERNAL</t>
  </si>
  <si>
    <t>DISSIPATIVE</t>
  </si>
  <si>
    <t>MANUAL</t>
  </si>
  <si>
    <t>PROCESS</t>
  </si>
  <si>
    <t>OUTPUT</t>
  </si>
  <si>
    <t>RESOURCES</t>
  </si>
  <si>
    <t>WASTE</t>
  </si>
  <si>
    <t>EXERGY</t>
  </si>
  <si>
    <t>COST</t>
  </si>
  <si>
    <t>IRREVERSIBILITY</t>
  </si>
  <si>
    <t>HYBRID</t>
  </si>
  <si>
    <t>key</t>
  </si>
  <si>
    <t>type</t>
  </si>
  <si>
    <t>B1</t>
  </si>
  <si>
    <t>B2</t>
  </si>
  <si>
    <t>B3</t>
  </si>
  <si>
    <t>B4</t>
  </si>
  <si>
    <t>B5</t>
  </si>
  <si>
    <t>B6</t>
  </si>
  <si>
    <t>B7</t>
  </si>
  <si>
    <t>B8</t>
  </si>
  <si>
    <t>WT</t>
  </si>
  <si>
    <t>WC</t>
  </si>
  <si>
    <t>WP</t>
  </si>
  <si>
    <t>QEVP</t>
  </si>
  <si>
    <t>WN</t>
  </si>
  <si>
    <t>description</t>
  </si>
  <si>
    <t>fuel</t>
  </si>
  <si>
    <t>product</t>
  </si>
  <si>
    <t>BLR</t>
  </si>
  <si>
    <t>TRB</t>
  </si>
  <si>
    <t>PMP</t>
  </si>
  <si>
    <t>CMP</t>
  </si>
  <si>
    <t>VEXP</t>
  </si>
  <si>
    <t>EVAP</t>
  </si>
  <si>
    <t>GEN</t>
  </si>
  <si>
    <t>CND</t>
  </si>
  <si>
    <t>Boiler</t>
  </si>
  <si>
    <t>Turbine</t>
  </si>
  <si>
    <t>Pump</t>
  </si>
  <si>
    <t>Compresor</t>
  </si>
  <si>
    <t>Expansion Valve</t>
  </si>
  <si>
    <t>Evaporator</t>
  </si>
  <si>
    <t>Alternator</t>
  </si>
  <si>
    <t>Condeser</t>
  </si>
  <si>
    <t>QBLR</t>
  </si>
  <si>
    <t>QCND</t>
  </si>
  <si>
    <t>width</t>
  </si>
  <si>
    <t>precision</t>
  </si>
  <si>
    <t>unit</t>
  </si>
  <si>
    <t>EXERGY_COST</t>
  </si>
  <si>
    <t>EXERGY_UNIT_COST</t>
  </si>
  <si>
    <t>(J/J)</t>
  </si>
  <si>
    <t>GENERALIZED_COST</t>
  </si>
  <si>
    <t>GENERALIZED_UNIT_COST</t>
  </si>
  <si>
    <t>DIAGNOSIS</t>
  </si>
  <si>
    <t>recycle</t>
  </si>
  <si>
    <t>QEXP</t>
  </si>
  <si>
    <t>(kW)</t>
  </si>
  <si>
    <t>(c/h)</t>
  </si>
  <si>
    <t>(c/kWh)</t>
  </si>
  <si>
    <t>REF</t>
  </si>
  <si>
    <t>ETAT75</t>
  </si>
  <si>
    <t>ETAC75</t>
  </si>
  <si>
    <t>TCND35</t>
  </si>
  <si>
    <t>TBLR85</t>
  </si>
  <si>
    <t>WN0</t>
  </si>
  <si>
    <t>WN200</t>
  </si>
  <si>
    <t>m (kg/s)</t>
  </si>
  <si>
    <t>T (ºC)</t>
  </si>
  <si>
    <t>P (bar)</t>
  </si>
  <si>
    <t>h( kJ/kg)</t>
  </si>
  <si>
    <t>s (kj/kg K)</t>
  </si>
  <si>
    <t>B (kW)</t>
  </si>
  <si>
    <t>B1-B4</t>
  </si>
  <si>
    <t>B1-B2</t>
  </si>
  <si>
    <t>B8-B7</t>
  </si>
  <si>
    <t>B4-B3</t>
  </si>
  <si>
    <t>B6-B7</t>
  </si>
  <si>
    <t>WN+WC+WP</t>
  </si>
  <si>
    <t>(B2-B3)+(B8-B5)</t>
  </si>
  <si>
    <t>B5-B6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</si>
</sst>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676275</xdr:colOff>
      <xdr:row>1</xdr:row>
      <xdr:rowOff>114300</xdr:rowOff>
    </xdr:from>
    <xdr:to>
      <xdr:col>11</xdr:col>
      <xdr:colOff>657225</xdr:colOff>
      <xdr:row>35</xdr:row>
      <xdr:rowOff>17422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2585A2-B9B3-65E1-5F0E-A68D4319F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04800"/>
          <a:ext cx="8362950" cy="63801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gas_fmt" connectionId="1" xr16:uid="{002D99B8-B987-44F1-A87D-4E0A74F66989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8D3E4-010E-4788-A9F8-CA0EF30DA26F}">
  <sheetPr>
    <tabColor rgb="FFC00000"/>
  </sheetPr>
  <dimension ref="A1"/>
  <sheetViews>
    <sheetView showGridLines="0" showRowColHeaders="0" workbookViewId="0">
      <selection activeCell="P27" sqref="P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13800-A950-44A1-BB52-0D1CAAE801BF}">
  <sheetPr>
    <tabColor rgb="FFC00000"/>
  </sheetPr>
  <dimension ref="A1:D8"/>
  <sheetViews>
    <sheetView workbookViewId="0">
      <selection sqref="A1:D1"/>
    </sheetView>
  </sheetViews>
  <sheetFormatPr baseColWidth="10" defaultRowHeight="15" x14ac:dyDescent="0.25"/>
  <cols>
    <col min="2" max="2" width="12.7109375" customWidth="1"/>
    <col min="3" max="3" width="15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C4" t="s">
        <v>13</v>
      </c>
    </row>
    <row r="5" spans="1:4" x14ac:dyDescent="0.25">
      <c r="A5" t="s">
        <v>14</v>
      </c>
      <c r="C5" t="s">
        <v>15</v>
      </c>
    </row>
    <row r="6" spans="1:4" x14ac:dyDescent="0.25">
      <c r="C6" t="s">
        <v>16</v>
      </c>
    </row>
    <row r="7" spans="1:4" x14ac:dyDescent="0.25">
      <c r="C7" t="s">
        <v>17</v>
      </c>
    </row>
    <row r="8" spans="1:4" x14ac:dyDescent="0.25">
      <c r="C8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00F1F-DBEE-4C6D-A6B2-333F3D8AE415}">
  <dimension ref="A1:B17"/>
  <sheetViews>
    <sheetView zoomScale="160" zoomScaleNormal="160" workbookViewId="0">
      <selection activeCell="C15" sqref="C15"/>
    </sheetView>
  </sheetViews>
  <sheetFormatPr baseColWidth="10" defaultRowHeight="15" x14ac:dyDescent="0.25"/>
  <sheetData>
    <row r="1" spans="1:2" x14ac:dyDescent="0.25">
      <c r="A1" s="1" t="s">
        <v>19</v>
      </c>
      <c r="B1" s="1" t="s">
        <v>20</v>
      </c>
    </row>
    <row r="2" spans="1:2" x14ac:dyDescent="0.25">
      <c r="A2" t="s">
        <v>21</v>
      </c>
      <c r="B2" t="s">
        <v>8</v>
      </c>
    </row>
    <row r="3" spans="1:2" x14ac:dyDescent="0.25">
      <c r="A3" t="s">
        <v>22</v>
      </c>
      <c r="B3" t="s">
        <v>8</v>
      </c>
    </row>
    <row r="4" spans="1:2" x14ac:dyDescent="0.25">
      <c r="A4" t="s">
        <v>23</v>
      </c>
      <c r="B4" t="s">
        <v>8</v>
      </c>
    </row>
    <row r="5" spans="1:2" x14ac:dyDescent="0.25">
      <c r="A5" t="s">
        <v>24</v>
      </c>
      <c r="B5" t="s">
        <v>8</v>
      </c>
    </row>
    <row r="6" spans="1:2" x14ac:dyDescent="0.25">
      <c r="A6" t="s">
        <v>25</v>
      </c>
      <c r="B6" t="s">
        <v>8</v>
      </c>
    </row>
    <row r="7" spans="1:2" x14ac:dyDescent="0.25">
      <c r="A7" t="s">
        <v>26</v>
      </c>
      <c r="B7" t="s">
        <v>8</v>
      </c>
    </row>
    <row r="8" spans="1:2" x14ac:dyDescent="0.25">
      <c r="A8" t="s">
        <v>27</v>
      </c>
      <c r="B8" t="s">
        <v>8</v>
      </c>
    </row>
    <row r="9" spans="1:2" x14ac:dyDescent="0.25">
      <c r="A9" t="s">
        <v>28</v>
      </c>
      <c r="B9" t="s">
        <v>8</v>
      </c>
    </row>
    <row r="10" spans="1:2" x14ac:dyDescent="0.25">
      <c r="A10" t="s">
        <v>29</v>
      </c>
      <c r="B10" t="s">
        <v>8</v>
      </c>
    </row>
    <row r="11" spans="1:2" x14ac:dyDescent="0.25">
      <c r="A11" t="s">
        <v>30</v>
      </c>
      <c r="B11" t="s">
        <v>8</v>
      </c>
    </row>
    <row r="12" spans="1:2" x14ac:dyDescent="0.25">
      <c r="A12" t="s">
        <v>31</v>
      </c>
      <c r="B12" t="s">
        <v>8</v>
      </c>
    </row>
    <row r="13" spans="1:2" x14ac:dyDescent="0.25">
      <c r="A13" t="s">
        <v>53</v>
      </c>
      <c r="B13" t="s">
        <v>4</v>
      </c>
    </row>
    <row r="14" spans="1:2" x14ac:dyDescent="0.25">
      <c r="A14" t="s">
        <v>32</v>
      </c>
      <c r="B14" t="s">
        <v>12</v>
      </c>
    </row>
    <row r="15" spans="1:2" x14ac:dyDescent="0.25">
      <c r="A15" t="s">
        <v>33</v>
      </c>
      <c r="B15" t="s">
        <v>12</v>
      </c>
    </row>
    <row r="16" spans="1:2" x14ac:dyDescent="0.25">
      <c r="A16" t="s">
        <v>54</v>
      </c>
      <c r="B16" t="s">
        <v>14</v>
      </c>
    </row>
    <row r="17" spans="1:2" x14ac:dyDescent="0.25">
      <c r="A17" t="s">
        <v>65</v>
      </c>
      <c r="B17" t="s">
        <v>14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1DF461F-E68B-43F9-998F-C3C7EDFF24BA}">
          <x14:formula1>
            <xm:f>Validate!$A$2:$A$5</xm:f>
          </x14:formula1>
          <xm:sqref>B2:B16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5D138-EAF1-4FBB-AB5C-0C0C44730BFD}">
  <dimension ref="A1:E9"/>
  <sheetViews>
    <sheetView zoomScale="268" zoomScaleNormal="268" workbookViewId="0">
      <selection activeCell="C1" sqref="C1:D9"/>
    </sheetView>
  </sheetViews>
  <sheetFormatPr baseColWidth="10" defaultRowHeight="15" x14ac:dyDescent="0.25"/>
  <cols>
    <col min="1" max="1" width="8.85546875" customWidth="1"/>
    <col min="2" max="2" width="16" customWidth="1"/>
    <col min="3" max="3" width="14" customWidth="1"/>
    <col min="4" max="4" width="13.140625" customWidth="1"/>
    <col min="5" max="5" width="15" customWidth="1"/>
  </cols>
  <sheetData>
    <row r="1" spans="1:5" x14ac:dyDescent="0.25">
      <c r="A1" s="1" t="s">
        <v>19</v>
      </c>
      <c r="B1" s="1" t="s">
        <v>20</v>
      </c>
      <c r="C1" s="1" t="s">
        <v>35</v>
      </c>
      <c r="D1" s="1" t="s">
        <v>36</v>
      </c>
      <c r="E1" s="1" t="s">
        <v>34</v>
      </c>
    </row>
    <row r="2" spans="1:5" x14ac:dyDescent="0.25">
      <c r="A2" t="s">
        <v>37</v>
      </c>
      <c r="B2" t="s">
        <v>5</v>
      </c>
      <c r="C2" t="s">
        <v>53</v>
      </c>
      <c r="D2" t="s">
        <v>82</v>
      </c>
      <c r="E2" t="s">
        <v>45</v>
      </c>
    </row>
    <row r="3" spans="1:5" x14ac:dyDescent="0.25">
      <c r="A3" t="s">
        <v>38</v>
      </c>
      <c r="B3" t="s">
        <v>5</v>
      </c>
      <c r="C3" t="s">
        <v>83</v>
      </c>
      <c r="D3" t="s">
        <v>29</v>
      </c>
      <c r="E3" t="s">
        <v>46</v>
      </c>
    </row>
    <row r="4" spans="1:5" x14ac:dyDescent="0.25">
      <c r="A4" t="s">
        <v>39</v>
      </c>
      <c r="B4" t="s">
        <v>5</v>
      </c>
      <c r="C4" t="s">
        <v>31</v>
      </c>
      <c r="D4" t="s">
        <v>85</v>
      </c>
      <c r="E4" t="s">
        <v>47</v>
      </c>
    </row>
    <row r="5" spans="1:5" x14ac:dyDescent="0.25">
      <c r="A5" t="s">
        <v>40</v>
      </c>
      <c r="B5" t="s">
        <v>5</v>
      </c>
      <c r="C5" t="s">
        <v>30</v>
      </c>
      <c r="D5" t="s">
        <v>84</v>
      </c>
      <c r="E5" t="s">
        <v>48</v>
      </c>
    </row>
    <row r="6" spans="1:5" x14ac:dyDescent="0.25">
      <c r="A6" t="s">
        <v>42</v>
      </c>
      <c r="B6" t="s">
        <v>5</v>
      </c>
      <c r="C6" t="s">
        <v>86</v>
      </c>
      <c r="D6" t="s">
        <v>32</v>
      </c>
      <c r="E6" t="s">
        <v>50</v>
      </c>
    </row>
    <row r="7" spans="1:5" x14ac:dyDescent="0.25">
      <c r="A7" t="s">
        <v>43</v>
      </c>
      <c r="B7" t="s">
        <v>5</v>
      </c>
      <c r="C7" t="s">
        <v>29</v>
      </c>
      <c r="D7" t="s">
        <v>87</v>
      </c>
      <c r="E7" t="s">
        <v>51</v>
      </c>
    </row>
    <row r="8" spans="1:5" x14ac:dyDescent="0.25">
      <c r="A8" t="s">
        <v>44</v>
      </c>
      <c r="B8" t="s">
        <v>9</v>
      </c>
      <c r="C8" t="s">
        <v>88</v>
      </c>
      <c r="D8" t="s">
        <v>54</v>
      </c>
      <c r="E8" t="s">
        <v>52</v>
      </c>
    </row>
    <row r="9" spans="1:5" x14ac:dyDescent="0.25">
      <c r="A9" t="s">
        <v>41</v>
      </c>
      <c r="B9" t="s">
        <v>9</v>
      </c>
      <c r="C9" t="s">
        <v>89</v>
      </c>
      <c r="D9" t="s">
        <v>65</v>
      </c>
      <c r="E9" t="s">
        <v>49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A374B0-814A-4C25-964E-7E7C74137EBA}">
          <x14:formula1>
            <xm:f>Validate!$B$2:$B$3</xm:f>
          </x14:formula1>
          <xm:sqref>B2:B9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1C192-3DC3-406B-9DFF-73A67AE08F6E}">
  <dimension ref="A1:H17"/>
  <sheetViews>
    <sheetView tabSelected="1" zoomScale="184" zoomScaleNormal="184" workbookViewId="0">
      <selection activeCell="B16" sqref="B16:H16"/>
    </sheetView>
  </sheetViews>
  <sheetFormatPr baseColWidth="10" defaultRowHeight="15" x14ac:dyDescent="0.25"/>
  <sheetData>
    <row r="1" spans="1:8" x14ac:dyDescent="0.25">
      <c r="A1" t="s">
        <v>19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</row>
    <row r="2" spans="1:8" x14ac:dyDescent="0.25">
      <c r="A2" t="str">
        <f>Flows!A2</f>
        <v>B1</v>
      </c>
      <c r="B2">
        <f>REF!G2</f>
        <v>680</v>
      </c>
      <c r="C2">
        <f>ETAT75!G2</f>
        <v>728.5</v>
      </c>
      <c r="D2">
        <f>ETAC75!G2</f>
        <v>721.7</v>
      </c>
      <c r="E2">
        <f>TCND35!G2</f>
        <v>884.5</v>
      </c>
      <c r="F2">
        <f>TBLR85!G2</f>
        <v>702.3</v>
      </c>
      <c r="G2">
        <f>WN0!G2</f>
        <v>625.29999999999995</v>
      </c>
      <c r="H2">
        <f>'WN200'!G2</f>
        <v>1173</v>
      </c>
    </row>
    <row r="3" spans="1:8" x14ac:dyDescent="0.25">
      <c r="A3" t="str">
        <f>Flows!A3</f>
        <v>B2</v>
      </c>
      <c r="B3">
        <f>REF!G3</f>
        <v>347.3</v>
      </c>
      <c r="C3">
        <f>ETAT75!G3</f>
        <v>373.6</v>
      </c>
      <c r="D3">
        <f>ETAC75!G3</f>
        <v>368.6</v>
      </c>
      <c r="E3">
        <f>TCND35!G3</f>
        <v>496.5</v>
      </c>
      <c r="F3">
        <f>TBLR85!G3</f>
        <v>370.8</v>
      </c>
      <c r="G3">
        <f>WN0!G3</f>
        <v>319.39999999999998</v>
      </c>
      <c r="H3">
        <f>'WN200'!G3</f>
        <v>599.1</v>
      </c>
    </row>
    <row r="4" spans="1:8" x14ac:dyDescent="0.25">
      <c r="A4" t="str">
        <f>Flows!A4</f>
        <v>B3</v>
      </c>
      <c r="B4">
        <f>REF!G4</f>
        <v>272</v>
      </c>
      <c r="C4">
        <f>ETAT75!G4</f>
        <v>291.39999999999998</v>
      </c>
      <c r="D4">
        <f>ETAC75!G4</f>
        <v>288.7</v>
      </c>
      <c r="E4">
        <f>TCND35!G4</f>
        <v>358.7</v>
      </c>
      <c r="F4">
        <f>TBLR85!G4</f>
        <v>291.2</v>
      </c>
      <c r="G4">
        <f>WN0!G4</f>
        <v>250.1</v>
      </c>
      <c r="H4">
        <f>'WN200'!G4</f>
        <v>469.1</v>
      </c>
    </row>
    <row r="5" spans="1:8" x14ac:dyDescent="0.25">
      <c r="A5" t="str">
        <f>Flows!A5</f>
        <v>B4</v>
      </c>
      <c r="B5">
        <f>REF!G5</f>
        <v>285.89999999999998</v>
      </c>
      <c r="C5">
        <f>ETAT75!G5</f>
        <v>306.3</v>
      </c>
      <c r="D5">
        <f>ETAC75!G5</f>
        <v>303.5</v>
      </c>
      <c r="E5">
        <f>TCND35!G5</f>
        <v>376.2</v>
      </c>
      <c r="F5">
        <f>TBLR85!G5</f>
        <v>304.2</v>
      </c>
      <c r="G5">
        <f>WN0!G5</f>
        <v>262.89999999999998</v>
      </c>
      <c r="H5">
        <f>'WN200'!G5</f>
        <v>493.2</v>
      </c>
    </row>
    <row r="6" spans="1:8" x14ac:dyDescent="0.25">
      <c r="A6" t="str">
        <f>Flows!A6</f>
        <v>B5</v>
      </c>
      <c r="B6">
        <f>REF!G6</f>
        <v>192.1</v>
      </c>
      <c r="C6">
        <f>ETAT75!G6</f>
        <v>192.1</v>
      </c>
      <c r="D6">
        <f>ETAC75!G6</f>
        <v>192.1</v>
      </c>
      <c r="E6">
        <f>TCND35!G6</f>
        <v>204</v>
      </c>
      <c r="F6">
        <f>TBLR85!G6</f>
        <v>192.1</v>
      </c>
      <c r="G6">
        <f>WN0!G6</f>
        <v>192.1</v>
      </c>
      <c r="H6">
        <f>'WN200'!G6</f>
        <v>192.1</v>
      </c>
    </row>
    <row r="7" spans="1:8" x14ac:dyDescent="0.25">
      <c r="A7" t="str">
        <f>Flows!A7</f>
        <v>B6</v>
      </c>
      <c r="B7">
        <f>REF!G7</f>
        <v>166</v>
      </c>
      <c r="C7">
        <f>ETAT75!G7</f>
        <v>166</v>
      </c>
      <c r="D7">
        <f>ETAC75!G7</f>
        <v>166</v>
      </c>
      <c r="E7">
        <f>TCND35!G7</f>
        <v>168.6</v>
      </c>
      <c r="F7">
        <f>TBLR85!G7</f>
        <v>166</v>
      </c>
      <c r="G7">
        <f>WN0!G7</f>
        <v>166</v>
      </c>
      <c r="H7">
        <f>'WN200'!G7</f>
        <v>166</v>
      </c>
    </row>
    <row r="8" spans="1:8" x14ac:dyDescent="0.25">
      <c r="A8" t="str">
        <f>Flows!A8</f>
        <v>B7</v>
      </c>
      <c r="B8">
        <f>REF!G8</f>
        <v>54.79</v>
      </c>
      <c r="C8">
        <f>ETAT75!G8</f>
        <v>54.79</v>
      </c>
      <c r="D8">
        <f>ETAC75!G8</f>
        <v>54.79</v>
      </c>
      <c r="E8">
        <f>TCND35!G8</f>
        <v>57.39</v>
      </c>
      <c r="F8">
        <f>TBLR85!G8</f>
        <v>54.79</v>
      </c>
      <c r="G8">
        <f>WN0!G8</f>
        <v>54.79</v>
      </c>
      <c r="H8">
        <f>'WN200'!G8</f>
        <v>54.79</v>
      </c>
    </row>
    <row r="9" spans="1:8" x14ac:dyDescent="0.25">
      <c r="A9" t="str">
        <f>Flows!A9</f>
        <v>B8</v>
      </c>
      <c r="B9">
        <f>REF!G9</f>
        <v>239.1</v>
      </c>
      <c r="C9">
        <f>ETAT75!G9</f>
        <v>239.1</v>
      </c>
      <c r="D9">
        <f>ETAC75!G9</f>
        <v>239.8</v>
      </c>
      <c r="E9">
        <f>TCND35!G9</f>
        <v>275.3</v>
      </c>
      <c r="F9">
        <f>TBLR85!G9</f>
        <v>239.1</v>
      </c>
      <c r="G9">
        <f>WN0!G9</f>
        <v>239.1</v>
      </c>
      <c r="H9">
        <f>'WN200'!G9</f>
        <v>239.1</v>
      </c>
    </row>
    <row r="10" spans="1:8" x14ac:dyDescent="0.25">
      <c r="A10" t="str">
        <f>Flows!A10</f>
        <v>WT</v>
      </c>
      <c r="B10">
        <f>REF!G10</f>
        <v>270</v>
      </c>
      <c r="C10">
        <f>ETAT75!G10</f>
        <v>271.2</v>
      </c>
      <c r="D10">
        <f>ETAC75!G10</f>
        <v>286.60000000000002</v>
      </c>
      <c r="E10">
        <f>TCND35!G10</f>
        <v>315.7</v>
      </c>
      <c r="F10">
        <f>TBLR85!G10</f>
        <v>269</v>
      </c>
      <c r="G10">
        <f>WN0!G10</f>
        <v>248.3</v>
      </c>
      <c r="H10">
        <f>'WN200'!G10</f>
        <v>465.8</v>
      </c>
    </row>
    <row r="11" spans="1:8" x14ac:dyDescent="0.25">
      <c r="A11" t="str">
        <f>Flows!A11</f>
        <v>WC</v>
      </c>
      <c r="B11">
        <f>REF!G11</f>
        <v>228.3</v>
      </c>
      <c r="C11">
        <f>ETAT75!G11</f>
        <v>228.3</v>
      </c>
      <c r="D11">
        <f>ETAC75!G11</f>
        <v>243.5</v>
      </c>
      <c r="E11">
        <f>TCND35!G11</f>
        <v>268.89999999999998</v>
      </c>
      <c r="F11">
        <f>TBLR85!G11</f>
        <v>228.3</v>
      </c>
      <c r="G11">
        <f>WN0!G11</f>
        <v>228.3</v>
      </c>
      <c r="H11">
        <f>'WN200'!G11</f>
        <v>228.3</v>
      </c>
    </row>
    <row r="12" spans="1:8" x14ac:dyDescent="0.25">
      <c r="A12" t="str">
        <f>Flows!A12</f>
        <v>WP</v>
      </c>
      <c r="B12">
        <f>REF!G12</f>
        <v>16.309999999999999</v>
      </c>
      <c r="C12">
        <f>ETAT75!G12</f>
        <v>17.48</v>
      </c>
      <c r="D12">
        <f>ETAC75!G12</f>
        <v>17.309999999999999</v>
      </c>
      <c r="E12">
        <f>TCND35!G12</f>
        <v>20.43</v>
      </c>
      <c r="F12">
        <f>TBLR85!G12</f>
        <v>15.28</v>
      </c>
      <c r="G12">
        <f>WN0!G12</f>
        <v>15</v>
      </c>
      <c r="H12">
        <f>'WN200'!G12</f>
        <v>28.14</v>
      </c>
    </row>
    <row r="13" spans="1:8" x14ac:dyDescent="0.25">
      <c r="A13" t="str">
        <f>Flows!A13</f>
        <v>QBLR</v>
      </c>
      <c r="B13">
        <f>REF!G13</f>
        <v>542.1</v>
      </c>
      <c r="C13">
        <f>ETAT75!G13</f>
        <v>580.79999999999995</v>
      </c>
      <c r="D13">
        <f>ETAC75!G13</f>
        <v>575.4</v>
      </c>
      <c r="E13">
        <f>TCND35!G13</f>
        <v>689.9</v>
      </c>
      <c r="F13">
        <f>TBLR85!G13</f>
        <v>560.79999999999995</v>
      </c>
      <c r="G13">
        <f>WN0!G13</f>
        <v>498.5</v>
      </c>
      <c r="H13">
        <f>'WN200'!G13</f>
        <v>935.1</v>
      </c>
    </row>
    <row r="14" spans="1:8" x14ac:dyDescent="0.25">
      <c r="A14" t="str">
        <f>Flows!A14</f>
        <v>QEVP</v>
      </c>
      <c r="B14">
        <f>REF!G14</f>
        <v>42.65</v>
      </c>
      <c r="C14">
        <f>ETAT75!G14</f>
        <v>42.65</v>
      </c>
      <c r="D14">
        <f>ETAC75!G14</f>
        <v>42.65</v>
      </c>
      <c r="E14">
        <f>TCND35!G14</f>
        <v>42.65</v>
      </c>
      <c r="F14">
        <f>TBLR85!G14</f>
        <v>42.65</v>
      </c>
      <c r="G14">
        <f>WN0!G14</f>
        <v>42.65</v>
      </c>
      <c r="H14">
        <f>'WN200'!G14</f>
        <v>42.65</v>
      </c>
    </row>
    <row r="15" spans="1:8" x14ac:dyDescent="0.25">
      <c r="A15" t="str">
        <f>Flows!A15</f>
        <v>WN</v>
      </c>
      <c r="B15">
        <f>REF!G15</f>
        <v>20</v>
      </c>
      <c r="C15">
        <f>ETAT75!G15</f>
        <v>20</v>
      </c>
      <c r="D15">
        <f>ETAC75!G15</f>
        <v>20</v>
      </c>
      <c r="E15">
        <f>TCND35!G15</f>
        <v>20</v>
      </c>
      <c r="F15">
        <f>TBLR85!G15</f>
        <v>20</v>
      </c>
      <c r="G15">
        <f>WN0!G15</f>
        <v>0</v>
      </c>
      <c r="H15">
        <f>'WN200'!G15</f>
        <v>200</v>
      </c>
    </row>
    <row r="16" spans="1:8" x14ac:dyDescent="0.25">
      <c r="A16" t="str">
        <f>Flows!A16</f>
        <v>QCND</v>
      </c>
      <c r="B16">
        <f>B3+B9-B4-B6</f>
        <v>122.29999999999998</v>
      </c>
      <c r="C16">
        <f t="shared" ref="C16:H16" si="0">C3+C9-C4-C6</f>
        <v>129.20000000000007</v>
      </c>
      <c r="D16">
        <f t="shared" si="0"/>
        <v>127.60000000000011</v>
      </c>
      <c r="E16">
        <f t="shared" si="0"/>
        <v>209.09999999999997</v>
      </c>
      <c r="F16">
        <f t="shared" si="0"/>
        <v>126.6</v>
      </c>
      <c r="G16">
        <f t="shared" si="0"/>
        <v>116.29999999999998</v>
      </c>
      <c r="H16">
        <f t="shared" si="0"/>
        <v>177.00000000000003</v>
      </c>
    </row>
    <row r="17" spans="1:8" x14ac:dyDescent="0.25">
      <c r="A17" t="str">
        <f>Flows!A17</f>
        <v>QEXP</v>
      </c>
      <c r="B17">
        <f>B6-B7</f>
        <v>26.099999999999994</v>
      </c>
      <c r="C17">
        <f t="shared" ref="C17:H17" si="1">C6-C7</f>
        <v>26.099999999999994</v>
      </c>
      <c r="D17">
        <f t="shared" si="1"/>
        <v>26.099999999999994</v>
      </c>
      <c r="E17">
        <f t="shared" si="1"/>
        <v>35.400000000000006</v>
      </c>
      <c r="F17">
        <f t="shared" si="1"/>
        <v>26.099999999999994</v>
      </c>
      <c r="G17">
        <f t="shared" si="1"/>
        <v>26.099999999999994</v>
      </c>
      <c r="H17">
        <f t="shared" si="1"/>
        <v>26.099999999999994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C34D9-3156-4D42-9D3A-CA3AAFB07BAA}">
  <dimension ref="A1:D7"/>
  <sheetViews>
    <sheetView zoomScale="238" zoomScaleNormal="238" workbookViewId="0">
      <selection activeCell="C13" sqref="C13"/>
    </sheetView>
  </sheetViews>
  <sheetFormatPr baseColWidth="10" defaultRowHeight="15" x14ac:dyDescent="0.25"/>
  <cols>
    <col min="1" max="1" width="26.85546875" customWidth="1"/>
  </cols>
  <sheetData>
    <row r="1" spans="1:4" x14ac:dyDescent="0.25">
      <c r="A1" s="2" t="s">
        <v>19</v>
      </c>
      <c r="B1" s="2" t="s">
        <v>55</v>
      </c>
      <c r="C1" s="2" t="s">
        <v>56</v>
      </c>
      <c r="D1" s="2" t="s">
        <v>57</v>
      </c>
    </row>
    <row r="2" spans="1:4" x14ac:dyDescent="0.25">
      <c r="A2" s="2" t="s">
        <v>15</v>
      </c>
      <c r="B2">
        <v>10</v>
      </c>
      <c r="C2">
        <v>1</v>
      </c>
      <c r="D2" t="s">
        <v>66</v>
      </c>
    </row>
    <row r="3" spans="1:4" x14ac:dyDescent="0.25">
      <c r="A3" s="2" t="s">
        <v>58</v>
      </c>
      <c r="B3">
        <v>10</v>
      </c>
      <c r="C3">
        <v>1</v>
      </c>
      <c r="D3" t="s">
        <v>66</v>
      </c>
    </row>
    <row r="4" spans="1:4" x14ac:dyDescent="0.25">
      <c r="A4" s="2" t="s">
        <v>59</v>
      </c>
      <c r="B4">
        <v>10</v>
      </c>
      <c r="C4">
        <v>4</v>
      </c>
      <c r="D4" t="s">
        <v>60</v>
      </c>
    </row>
    <row r="5" spans="1:4" x14ac:dyDescent="0.25">
      <c r="A5" s="2" t="s">
        <v>61</v>
      </c>
      <c r="B5">
        <v>10</v>
      </c>
      <c r="C5">
        <v>1</v>
      </c>
      <c r="D5" t="s">
        <v>67</v>
      </c>
    </row>
    <row r="6" spans="1:4" x14ac:dyDescent="0.25">
      <c r="A6" s="2" t="s">
        <v>62</v>
      </c>
      <c r="B6">
        <v>10</v>
      </c>
      <c r="C6">
        <v>4</v>
      </c>
      <c r="D6" t="s">
        <v>68</v>
      </c>
    </row>
    <row r="7" spans="1:4" x14ac:dyDescent="0.25">
      <c r="A7" s="2" t="s">
        <v>63</v>
      </c>
      <c r="B7">
        <v>10</v>
      </c>
      <c r="C7">
        <v>3</v>
      </c>
      <c r="D7" t="s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AFAEF-8001-4F32-AE2D-810B2147CCCF}">
  <dimension ref="A1:C3"/>
  <sheetViews>
    <sheetView zoomScale="178" zoomScaleNormal="178" workbookViewId="0">
      <selection activeCell="D11" sqref="D11"/>
    </sheetView>
  </sheetViews>
  <sheetFormatPr baseColWidth="10" defaultRowHeight="15" x14ac:dyDescent="0.25"/>
  <cols>
    <col min="2" max="2" width="15.42578125" customWidth="1"/>
  </cols>
  <sheetData>
    <row r="1" spans="1:3" x14ac:dyDescent="0.25">
      <c r="A1" t="s">
        <v>19</v>
      </c>
      <c r="B1" t="s">
        <v>20</v>
      </c>
      <c r="C1" t="s">
        <v>64</v>
      </c>
    </row>
    <row r="2" spans="1:3" x14ac:dyDescent="0.25">
      <c r="A2" t="str">
        <f>Flows!A16</f>
        <v>QCND</v>
      </c>
      <c r="B2" t="s">
        <v>15</v>
      </c>
      <c r="C2">
        <v>0</v>
      </c>
    </row>
    <row r="3" spans="1:3" x14ac:dyDescent="0.25">
      <c r="A3" t="str">
        <f>Flows!A17</f>
        <v>QEXP</v>
      </c>
      <c r="B3" t="s">
        <v>15</v>
      </c>
      <c r="C3">
        <v>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CD6B69B-F447-403A-BA48-B5E87F2F7570}">
          <x14:formula1>
            <xm:f>Validate!$C$2:$C$8</xm:f>
          </x14:formula1>
          <xm:sqref>B2:B3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88A08-8523-4B4A-B93F-89C2BF4F22E5}">
  <dimension ref="A1:G17"/>
  <sheetViews>
    <sheetView zoomScale="154" zoomScaleNormal="154" workbookViewId="0">
      <selection activeCell="G18" sqref="G18"/>
    </sheetView>
  </sheetViews>
  <sheetFormatPr baseColWidth="10" defaultRowHeight="15" x14ac:dyDescent="0.25"/>
  <sheetData>
    <row r="1" spans="1:7" x14ac:dyDescent="0.25">
      <c r="A1" t="str">
        <f>Flows!A1</f>
        <v>key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</row>
    <row r="2" spans="1:7" x14ac:dyDescent="0.25">
      <c r="A2" t="str">
        <f>Flows!A2</f>
        <v>B1</v>
      </c>
      <c r="B2">
        <v>6.109</v>
      </c>
      <c r="C2">
        <v>90</v>
      </c>
      <c r="D2">
        <v>16.399999999999999</v>
      </c>
      <c r="E2">
        <v>668.6</v>
      </c>
      <c r="F2">
        <v>2.3730000000000002</v>
      </c>
      <c r="G2">
        <v>680</v>
      </c>
    </row>
    <row r="3" spans="1:7" x14ac:dyDescent="0.25">
      <c r="A3" t="str">
        <f>Flows!A3</f>
        <v>B2</v>
      </c>
      <c r="B3">
        <v>6.109</v>
      </c>
      <c r="C3">
        <v>45.63</v>
      </c>
      <c r="D3">
        <v>4.0449999999999999</v>
      </c>
      <c r="E3">
        <v>624.4</v>
      </c>
      <c r="F3">
        <v>2.4079999999999999</v>
      </c>
      <c r="G3">
        <v>347.3</v>
      </c>
    </row>
    <row r="4" spans="1:7" x14ac:dyDescent="0.25">
      <c r="A4" t="str">
        <f>Flows!A4</f>
        <v>B3</v>
      </c>
      <c r="B4">
        <v>6.109</v>
      </c>
      <c r="C4">
        <v>30</v>
      </c>
      <c r="D4">
        <v>4.0449999999999999</v>
      </c>
      <c r="E4">
        <v>271.8</v>
      </c>
      <c r="F4">
        <v>1.248</v>
      </c>
      <c r="G4">
        <v>272</v>
      </c>
    </row>
    <row r="5" spans="1:7" x14ac:dyDescent="0.25">
      <c r="A5" t="str">
        <f>Flows!A5</f>
        <v>B4</v>
      </c>
      <c r="B5">
        <v>6.109</v>
      </c>
      <c r="C5">
        <v>30.84</v>
      </c>
      <c r="D5">
        <v>16.399999999999999</v>
      </c>
      <c r="E5">
        <v>274.5</v>
      </c>
      <c r="F5">
        <v>1.2490000000000001</v>
      </c>
      <c r="G5">
        <v>285.89999999999998</v>
      </c>
    </row>
    <row r="6" spans="1:7" x14ac:dyDescent="0.25">
      <c r="A6" t="str">
        <f>Flows!A6</f>
        <v>B5</v>
      </c>
      <c r="B6">
        <v>4.3150000000000004</v>
      </c>
      <c r="C6">
        <v>30</v>
      </c>
      <c r="D6">
        <v>4.0449999999999999</v>
      </c>
      <c r="E6">
        <v>271.8</v>
      </c>
      <c r="F6">
        <v>1.248</v>
      </c>
      <c r="G6">
        <v>192.1</v>
      </c>
    </row>
    <row r="7" spans="1:7" x14ac:dyDescent="0.25">
      <c r="A7" t="str">
        <f>Flows!A7</f>
        <v>B6</v>
      </c>
      <c r="B7">
        <v>4.3150000000000004</v>
      </c>
      <c r="C7">
        <v>-5</v>
      </c>
      <c r="D7">
        <v>1.3069999999999999</v>
      </c>
      <c r="E7">
        <v>271.8</v>
      </c>
      <c r="F7">
        <v>1.268</v>
      </c>
      <c r="G7">
        <v>166</v>
      </c>
    </row>
    <row r="8" spans="1:7" x14ac:dyDescent="0.25">
      <c r="A8" t="str">
        <f>Flows!A8</f>
        <v>B7</v>
      </c>
      <c r="B8">
        <v>4.3150000000000004</v>
      </c>
      <c r="C8">
        <v>-5</v>
      </c>
      <c r="D8">
        <v>1.3069999999999999</v>
      </c>
      <c r="E8">
        <v>548.29999999999995</v>
      </c>
      <c r="F8">
        <v>2.2999999999999998</v>
      </c>
      <c r="G8">
        <v>54.79</v>
      </c>
    </row>
    <row r="9" spans="1:7" x14ac:dyDescent="0.25">
      <c r="A9" t="str">
        <f>Flows!A9</f>
        <v>B8</v>
      </c>
      <c r="B9">
        <v>4.3150000000000004</v>
      </c>
      <c r="C9">
        <v>33.26</v>
      </c>
      <c r="D9">
        <v>4.0449999999999999</v>
      </c>
      <c r="E9">
        <v>601.29999999999995</v>
      </c>
      <c r="F9">
        <v>2.3340000000000001</v>
      </c>
      <c r="G9">
        <v>239.1</v>
      </c>
    </row>
    <row r="10" spans="1:7" x14ac:dyDescent="0.25">
      <c r="A10" t="str">
        <f>Flows!A10</f>
        <v>WT</v>
      </c>
      <c r="G10">
        <v>270</v>
      </c>
    </row>
    <row r="11" spans="1:7" x14ac:dyDescent="0.25">
      <c r="A11" t="str">
        <f>Flows!A11</f>
        <v>WC</v>
      </c>
      <c r="G11">
        <v>228.3</v>
      </c>
    </row>
    <row r="12" spans="1:7" x14ac:dyDescent="0.25">
      <c r="A12" t="str">
        <f>Flows!A12</f>
        <v>WP</v>
      </c>
      <c r="G12">
        <v>16.309999999999999</v>
      </c>
    </row>
    <row r="13" spans="1:7" x14ac:dyDescent="0.25">
      <c r="A13" t="str">
        <f>Flows!A13</f>
        <v>QBLR</v>
      </c>
      <c r="G13">
        <v>542.1</v>
      </c>
    </row>
    <row r="14" spans="1:7" x14ac:dyDescent="0.25">
      <c r="A14" t="str">
        <f>Flows!A14</f>
        <v>QEVP</v>
      </c>
      <c r="G14">
        <v>42.65</v>
      </c>
    </row>
    <row r="15" spans="1:7" x14ac:dyDescent="0.25">
      <c r="A15" t="str">
        <f>Flows!A15</f>
        <v>WN</v>
      </c>
      <c r="G15">
        <v>20</v>
      </c>
    </row>
    <row r="16" spans="1:7" x14ac:dyDescent="0.25">
      <c r="A16" t="str">
        <f>Flows!A16</f>
        <v>QCND</v>
      </c>
      <c r="G16">
        <v>122.3</v>
      </c>
    </row>
    <row r="17" spans="1:7" x14ac:dyDescent="0.25">
      <c r="A17" t="str">
        <f>Flows!A17</f>
        <v>QEXP</v>
      </c>
      <c r="G17">
        <f>G6-G7</f>
        <v>26.099999999999994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806E9-DCFD-4970-8C85-976347E3C54D}">
  <dimension ref="A1:G17"/>
  <sheetViews>
    <sheetView zoomScale="184" zoomScaleNormal="184" workbookViewId="0">
      <selection activeCell="I33" sqref="I33"/>
    </sheetView>
  </sheetViews>
  <sheetFormatPr baseColWidth="10" defaultRowHeight="15" x14ac:dyDescent="0.25"/>
  <sheetData>
    <row r="1" spans="1:7" x14ac:dyDescent="0.25">
      <c r="A1" t="str">
        <f>REF!A1</f>
        <v>key</v>
      </c>
      <c r="B1" t="str">
        <f>REF!B1</f>
        <v>m (kg/s)</v>
      </c>
      <c r="C1" t="str">
        <f>REF!C1</f>
        <v>T (ºC)</v>
      </c>
      <c r="D1" t="str">
        <f>REF!D1</f>
        <v>P (bar)</v>
      </c>
      <c r="E1" t="str">
        <f>REF!E1</f>
        <v>h( kJ/kg)</v>
      </c>
      <c r="F1" t="str">
        <f>REF!F1</f>
        <v>s (kj/kg K)</v>
      </c>
      <c r="G1" t="str">
        <f>REF!G1</f>
        <v>B (kW)</v>
      </c>
    </row>
    <row r="2" spans="1:7" x14ac:dyDescent="0.25">
      <c r="A2" t="str">
        <f>REF!A2</f>
        <v>B1</v>
      </c>
      <c r="B2">
        <v>6.5449999999999999</v>
      </c>
      <c r="C2">
        <v>90</v>
      </c>
      <c r="D2">
        <v>16.399999999999999</v>
      </c>
      <c r="E2">
        <v>668.6</v>
      </c>
      <c r="F2">
        <v>2.3730000000000002</v>
      </c>
      <c r="G2">
        <v>728.5</v>
      </c>
    </row>
    <row r="3" spans="1:7" x14ac:dyDescent="0.25">
      <c r="A3" t="str">
        <f>REF!A3</f>
        <v>B2</v>
      </c>
      <c r="B3">
        <v>6.5449999999999999</v>
      </c>
      <c r="C3">
        <v>47.1</v>
      </c>
      <c r="D3">
        <v>4.0449999999999999</v>
      </c>
      <c r="E3">
        <v>627.20000000000005</v>
      </c>
      <c r="F3">
        <v>2.4169999999999998</v>
      </c>
      <c r="G3">
        <v>373.6</v>
      </c>
    </row>
    <row r="4" spans="1:7" x14ac:dyDescent="0.25">
      <c r="A4" t="str">
        <f>REF!A4</f>
        <v>B3</v>
      </c>
      <c r="B4">
        <v>6.5449999999999999</v>
      </c>
      <c r="C4">
        <v>30</v>
      </c>
      <c r="D4">
        <v>4.0449999999999999</v>
      </c>
      <c r="E4">
        <v>271.8</v>
      </c>
      <c r="F4">
        <v>1.248</v>
      </c>
      <c r="G4">
        <v>291.39999999999998</v>
      </c>
    </row>
    <row r="5" spans="1:7" x14ac:dyDescent="0.25">
      <c r="A5" t="str">
        <f>REF!A5</f>
        <v>B4</v>
      </c>
      <c r="B5">
        <v>6.5449999999999999</v>
      </c>
      <c r="C5">
        <v>30.84</v>
      </c>
      <c r="D5">
        <v>16.399999999999999</v>
      </c>
      <c r="E5">
        <v>274.5</v>
      </c>
      <c r="F5">
        <v>1.2490000000000001</v>
      </c>
      <c r="G5">
        <v>306.3</v>
      </c>
    </row>
    <row r="6" spans="1:7" x14ac:dyDescent="0.25">
      <c r="A6" t="str">
        <f>REF!A6</f>
        <v>B5</v>
      </c>
      <c r="B6">
        <v>4.3150000000000004</v>
      </c>
      <c r="C6">
        <v>30</v>
      </c>
      <c r="D6">
        <v>4.0449999999999999</v>
      </c>
      <c r="E6">
        <v>271.8</v>
      </c>
      <c r="F6">
        <v>1.248</v>
      </c>
      <c r="G6">
        <v>192.1</v>
      </c>
    </row>
    <row r="7" spans="1:7" x14ac:dyDescent="0.25">
      <c r="A7" t="str">
        <f>REF!A7</f>
        <v>B6</v>
      </c>
      <c r="B7">
        <v>4.3150000000000004</v>
      </c>
      <c r="C7">
        <v>-5</v>
      </c>
      <c r="D7">
        <v>1.3069999999999999</v>
      </c>
      <c r="E7">
        <v>271.8</v>
      </c>
      <c r="F7">
        <v>1.268</v>
      </c>
      <c r="G7">
        <v>166</v>
      </c>
    </row>
    <row r="8" spans="1:7" x14ac:dyDescent="0.25">
      <c r="A8" t="str">
        <f>REF!A8</f>
        <v>B7</v>
      </c>
      <c r="B8">
        <v>4.3150000000000004</v>
      </c>
      <c r="C8">
        <v>-5</v>
      </c>
      <c r="D8">
        <v>1.3069999999999999</v>
      </c>
      <c r="E8">
        <v>548.29999999999995</v>
      </c>
      <c r="F8">
        <v>2.2999999999999998</v>
      </c>
      <c r="G8">
        <v>54.79</v>
      </c>
    </row>
    <row r="9" spans="1:7" x14ac:dyDescent="0.25">
      <c r="A9" t="str">
        <f>REF!A9</f>
        <v>B8</v>
      </c>
      <c r="B9">
        <v>4.3150000000000004</v>
      </c>
      <c r="C9">
        <v>33.26</v>
      </c>
      <c r="D9">
        <v>4.0449999999999999</v>
      </c>
      <c r="E9">
        <v>601.29999999999995</v>
      </c>
      <c r="F9">
        <v>2.3340000000000001</v>
      </c>
      <c r="G9">
        <v>239.1</v>
      </c>
    </row>
    <row r="10" spans="1:7" x14ac:dyDescent="0.25">
      <c r="A10" t="str">
        <f>REF!A10</f>
        <v>WT</v>
      </c>
      <c r="G10">
        <v>271.2</v>
      </c>
    </row>
    <row r="11" spans="1:7" x14ac:dyDescent="0.25">
      <c r="A11" t="str">
        <f>REF!A11</f>
        <v>WC</v>
      </c>
      <c r="G11">
        <v>228.3</v>
      </c>
    </row>
    <row r="12" spans="1:7" x14ac:dyDescent="0.25">
      <c r="A12" t="str">
        <f>REF!A12</f>
        <v>WP</v>
      </c>
      <c r="G12">
        <v>17.48</v>
      </c>
    </row>
    <row r="13" spans="1:7" x14ac:dyDescent="0.25">
      <c r="A13" t="str">
        <f>REF!A13</f>
        <v>QBLR</v>
      </c>
      <c r="G13">
        <v>580.79999999999995</v>
      </c>
    </row>
    <row r="14" spans="1:7" x14ac:dyDescent="0.25">
      <c r="A14" t="str">
        <f>REF!A14</f>
        <v>QEVP</v>
      </c>
      <c r="G14">
        <v>42.65</v>
      </c>
    </row>
    <row r="15" spans="1:7" x14ac:dyDescent="0.25">
      <c r="A15" t="str">
        <f>REF!A15</f>
        <v>WN</v>
      </c>
      <c r="G15">
        <v>20</v>
      </c>
    </row>
    <row r="16" spans="1:7" x14ac:dyDescent="0.25">
      <c r="A16" t="str">
        <f>REF!A16</f>
        <v>QCND</v>
      </c>
      <c r="G16">
        <v>129.19999999999999</v>
      </c>
    </row>
    <row r="17" spans="1:7" x14ac:dyDescent="0.25">
      <c r="A17" t="str">
        <f>REF!A17</f>
        <v>QEXP</v>
      </c>
      <c r="G17">
        <v>26.07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D86DF-CAD8-4680-B9B3-C7463016AB78}">
  <dimension ref="A1:G17"/>
  <sheetViews>
    <sheetView zoomScale="148" zoomScaleNormal="148" workbookViewId="0">
      <selection activeCell="G17" sqref="G17"/>
    </sheetView>
  </sheetViews>
  <sheetFormatPr baseColWidth="10" defaultRowHeight="15" x14ac:dyDescent="0.25"/>
  <sheetData>
    <row r="1" spans="1:7" x14ac:dyDescent="0.25">
      <c r="A1" t="str">
        <f>REF!A1</f>
        <v>key</v>
      </c>
      <c r="B1" t="str">
        <f>REF!B1</f>
        <v>m (kg/s)</v>
      </c>
      <c r="C1" t="str">
        <f>REF!C1</f>
        <v>T (ºC)</v>
      </c>
      <c r="D1" t="str">
        <f>REF!D1</f>
        <v>P (bar)</v>
      </c>
      <c r="E1" t="str">
        <f>REF!E1</f>
        <v>h( kJ/kg)</v>
      </c>
      <c r="F1" t="str">
        <f>REF!F1</f>
        <v>s (kj/kg K)</v>
      </c>
      <c r="G1" t="str">
        <f>REF!G1</f>
        <v>B (kW)</v>
      </c>
    </row>
    <row r="2" spans="1:7" x14ac:dyDescent="0.25">
      <c r="A2" t="str">
        <f>REF!A2</f>
        <v>B1</v>
      </c>
      <c r="B2">
        <v>6.484</v>
      </c>
      <c r="C2">
        <v>90</v>
      </c>
      <c r="D2">
        <v>16.399999999999999</v>
      </c>
      <c r="E2">
        <v>668.6</v>
      </c>
      <c r="F2">
        <v>2.3730000000000002</v>
      </c>
      <c r="G2">
        <v>721.7</v>
      </c>
    </row>
    <row r="3" spans="1:7" x14ac:dyDescent="0.25">
      <c r="A3" t="str">
        <f>REF!A3</f>
        <v>B2</v>
      </c>
      <c r="B3">
        <v>6.484</v>
      </c>
      <c r="C3">
        <v>45.63</v>
      </c>
      <c r="D3">
        <v>4.0449999999999999</v>
      </c>
      <c r="E3">
        <v>624.4</v>
      </c>
      <c r="F3">
        <v>2.4079999999999999</v>
      </c>
      <c r="G3">
        <v>368.6</v>
      </c>
    </row>
    <row r="4" spans="1:7" x14ac:dyDescent="0.25">
      <c r="A4" t="str">
        <f>REF!A4</f>
        <v>B3</v>
      </c>
      <c r="B4">
        <v>6.484</v>
      </c>
      <c r="C4">
        <v>30</v>
      </c>
      <c r="D4">
        <v>4.0449999999999999</v>
      </c>
      <c r="E4">
        <v>271.8</v>
      </c>
      <c r="F4">
        <v>1.248</v>
      </c>
      <c r="G4">
        <v>288.7</v>
      </c>
    </row>
    <row r="5" spans="1:7" x14ac:dyDescent="0.25">
      <c r="A5" t="str">
        <f>REF!A5</f>
        <v>B4</v>
      </c>
      <c r="B5">
        <v>6.484</v>
      </c>
      <c r="C5">
        <v>30.84</v>
      </c>
      <c r="D5">
        <v>16.399999999999999</v>
      </c>
      <c r="E5">
        <v>274.5</v>
      </c>
      <c r="F5">
        <v>1.2490000000000001</v>
      </c>
      <c r="G5">
        <v>303.5</v>
      </c>
    </row>
    <row r="6" spans="1:7" x14ac:dyDescent="0.25">
      <c r="A6" t="str">
        <f>REF!A6</f>
        <v>B5</v>
      </c>
      <c r="B6">
        <v>4.3150000000000004</v>
      </c>
      <c r="C6">
        <v>30</v>
      </c>
      <c r="D6">
        <v>4.0449999999999999</v>
      </c>
      <c r="E6">
        <v>271.8</v>
      </c>
      <c r="F6">
        <v>1.248</v>
      </c>
      <c r="G6">
        <v>192.1</v>
      </c>
    </row>
    <row r="7" spans="1:7" x14ac:dyDescent="0.25">
      <c r="A7" t="str">
        <f>REF!A7</f>
        <v>B6</v>
      </c>
      <c r="B7">
        <v>4.3150000000000004</v>
      </c>
      <c r="C7">
        <v>-5</v>
      </c>
      <c r="D7">
        <v>1.3069999999999999</v>
      </c>
      <c r="E7">
        <v>271.8</v>
      </c>
      <c r="F7">
        <v>1.268</v>
      </c>
      <c r="G7">
        <v>166</v>
      </c>
    </row>
    <row r="8" spans="1:7" x14ac:dyDescent="0.25">
      <c r="A8" t="str">
        <f>REF!A8</f>
        <v>B7</v>
      </c>
      <c r="B8">
        <v>4.3150000000000004</v>
      </c>
      <c r="C8">
        <v>-5</v>
      </c>
      <c r="D8">
        <v>1.3069999999999999</v>
      </c>
      <c r="E8">
        <v>548.29999999999995</v>
      </c>
      <c r="F8">
        <v>2.2999999999999998</v>
      </c>
      <c r="G8">
        <v>54.79</v>
      </c>
    </row>
    <row r="9" spans="1:7" x14ac:dyDescent="0.25">
      <c r="A9" t="str">
        <f>REF!A9</f>
        <v>B8</v>
      </c>
      <c r="B9">
        <v>4.3150000000000004</v>
      </c>
      <c r="C9">
        <v>35.15</v>
      </c>
      <c r="D9">
        <v>4.0449999999999999</v>
      </c>
      <c r="E9">
        <v>604.79999999999995</v>
      </c>
      <c r="F9">
        <v>2.3460000000000001</v>
      </c>
      <c r="G9">
        <v>239.8</v>
      </c>
    </row>
    <row r="10" spans="1:7" x14ac:dyDescent="0.25">
      <c r="A10" t="str">
        <f>REF!A10</f>
        <v>WT</v>
      </c>
      <c r="G10">
        <v>286.60000000000002</v>
      </c>
    </row>
    <row r="11" spans="1:7" x14ac:dyDescent="0.25">
      <c r="A11" t="str">
        <f>REF!A11</f>
        <v>WC</v>
      </c>
      <c r="G11">
        <v>243.5</v>
      </c>
    </row>
    <row r="12" spans="1:7" x14ac:dyDescent="0.25">
      <c r="A12" t="str">
        <f>REF!A12</f>
        <v>WP</v>
      </c>
      <c r="G12">
        <v>17.309999999999999</v>
      </c>
    </row>
    <row r="13" spans="1:7" x14ac:dyDescent="0.25">
      <c r="A13" t="str">
        <f>REF!A13</f>
        <v>QBLR</v>
      </c>
      <c r="G13">
        <v>575.4</v>
      </c>
    </row>
    <row r="14" spans="1:7" x14ac:dyDescent="0.25">
      <c r="A14" t="str">
        <f>REF!A14</f>
        <v>QEVP</v>
      </c>
      <c r="G14">
        <v>42.65</v>
      </c>
    </row>
    <row r="15" spans="1:7" x14ac:dyDescent="0.25">
      <c r="A15" t="str">
        <f>REF!A15</f>
        <v>WN</v>
      </c>
      <c r="G15">
        <v>20</v>
      </c>
    </row>
    <row r="16" spans="1:7" x14ac:dyDescent="0.25">
      <c r="A16" t="str">
        <f>REF!A16</f>
        <v>QCND</v>
      </c>
      <c r="G16">
        <v>127.6</v>
      </c>
    </row>
    <row r="17" spans="1:7" x14ac:dyDescent="0.25">
      <c r="A17" t="str">
        <f>REF!A17</f>
        <v>QEXP</v>
      </c>
      <c r="G17">
        <v>26.07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16677-3394-4B5C-82AF-62127DD09B67}">
  <dimension ref="A1:G17"/>
  <sheetViews>
    <sheetView zoomScale="178" zoomScaleNormal="178" workbookViewId="0">
      <selection activeCell="F27" sqref="F27"/>
    </sheetView>
  </sheetViews>
  <sheetFormatPr baseColWidth="10" defaultRowHeight="15" x14ac:dyDescent="0.25"/>
  <sheetData>
    <row r="1" spans="1:7" x14ac:dyDescent="0.25">
      <c r="A1" t="str">
        <f>REF!A1</f>
        <v>key</v>
      </c>
      <c r="B1" t="str">
        <f>REF!B1</f>
        <v>m (kg/s)</v>
      </c>
      <c r="C1" t="str">
        <f>REF!C1</f>
        <v>T (ºC)</v>
      </c>
      <c r="D1" t="str">
        <f>REF!D1</f>
        <v>P (bar)</v>
      </c>
      <c r="E1" t="str">
        <f>REF!E1</f>
        <v>h( kJ/kg)</v>
      </c>
      <c r="F1" t="str">
        <f>REF!F1</f>
        <v>s (kj/kg K)</v>
      </c>
      <c r="G1" t="str">
        <f>REF!G1</f>
        <v>B (kW)</v>
      </c>
    </row>
    <row r="2" spans="1:7" x14ac:dyDescent="0.25">
      <c r="A2" t="str">
        <f>REF!A2</f>
        <v>B1</v>
      </c>
      <c r="B2">
        <v>7.9470000000000001</v>
      </c>
      <c r="C2">
        <v>90</v>
      </c>
      <c r="D2">
        <v>16.399999999999999</v>
      </c>
      <c r="E2">
        <v>668.6</v>
      </c>
      <c r="F2">
        <v>2.3730000000000002</v>
      </c>
      <c r="G2">
        <v>884.5</v>
      </c>
    </row>
    <row r="3" spans="1:7" x14ac:dyDescent="0.25">
      <c r="A3" t="str">
        <f>REF!A3</f>
        <v>B2</v>
      </c>
      <c r="B3">
        <v>7.9470000000000001</v>
      </c>
      <c r="C3">
        <v>49.18</v>
      </c>
      <c r="D3">
        <v>4.6449999999999996</v>
      </c>
      <c r="E3">
        <v>628.9</v>
      </c>
      <c r="F3">
        <v>2.4049999999999998</v>
      </c>
      <c r="G3">
        <v>496.5</v>
      </c>
    </row>
    <row r="4" spans="1:7" x14ac:dyDescent="0.25">
      <c r="A4" t="str">
        <f>REF!A4</f>
        <v>B3</v>
      </c>
      <c r="B4">
        <v>7.9470000000000001</v>
      </c>
      <c r="C4">
        <v>35</v>
      </c>
      <c r="D4">
        <v>4.6449999999999996</v>
      </c>
      <c r="E4">
        <v>284.3</v>
      </c>
      <c r="F4">
        <v>1.288</v>
      </c>
      <c r="G4">
        <v>358.7</v>
      </c>
    </row>
    <row r="5" spans="1:7" x14ac:dyDescent="0.25">
      <c r="A5" t="str">
        <f>REF!A5</f>
        <v>B4</v>
      </c>
      <c r="B5">
        <v>7.9470000000000001</v>
      </c>
      <c r="C5">
        <v>35.83</v>
      </c>
      <c r="D5">
        <v>16.399999999999999</v>
      </c>
      <c r="E5">
        <v>286.89999999999998</v>
      </c>
      <c r="F5">
        <v>1.29</v>
      </c>
      <c r="G5">
        <v>376.2</v>
      </c>
    </row>
    <row r="6" spans="1:7" x14ac:dyDescent="0.25">
      <c r="A6" t="str">
        <f>REF!A6</f>
        <v>B5</v>
      </c>
      <c r="B6">
        <v>4.5190000000000001</v>
      </c>
      <c r="C6">
        <v>35</v>
      </c>
      <c r="D6">
        <v>4.6449999999999996</v>
      </c>
      <c r="E6">
        <v>284.3</v>
      </c>
      <c r="F6">
        <v>1.288</v>
      </c>
      <c r="G6">
        <v>204</v>
      </c>
    </row>
    <row r="7" spans="1:7" x14ac:dyDescent="0.25">
      <c r="A7" t="str">
        <f>REF!A7</f>
        <v>B6</v>
      </c>
      <c r="B7">
        <v>4.5190000000000001</v>
      </c>
      <c r="C7">
        <v>-5</v>
      </c>
      <c r="D7">
        <v>1.3069999999999999</v>
      </c>
      <c r="E7">
        <v>284.3</v>
      </c>
      <c r="F7">
        <v>1.3149999999999999</v>
      </c>
      <c r="G7">
        <v>168.6</v>
      </c>
    </row>
    <row r="8" spans="1:7" x14ac:dyDescent="0.25">
      <c r="A8" t="str">
        <f>REF!A8</f>
        <v>B7</v>
      </c>
      <c r="B8">
        <v>4.5190000000000001</v>
      </c>
      <c r="C8">
        <v>-5</v>
      </c>
      <c r="D8">
        <v>1.3069999999999999</v>
      </c>
      <c r="E8">
        <v>548.29999999999995</v>
      </c>
      <c r="F8">
        <v>2.2999999999999998</v>
      </c>
      <c r="G8">
        <v>57.39</v>
      </c>
    </row>
    <row r="9" spans="1:7" x14ac:dyDescent="0.25">
      <c r="A9" t="str">
        <f>REF!A9</f>
        <v>B8</v>
      </c>
      <c r="B9">
        <v>4.5190000000000001</v>
      </c>
      <c r="C9">
        <v>38.159999999999997</v>
      </c>
      <c r="D9">
        <v>4.6449999999999996</v>
      </c>
      <c r="E9">
        <v>607.79999999999995</v>
      </c>
      <c r="F9">
        <v>2.3380000000000001</v>
      </c>
      <c r="G9">
        <v>275.3</v>
      </c>
    </row>
    <row r="10" spans="1:7" x14ac:dyDescent="0.25">
      <c r="A10" t="str">
        <f>REF!A10</f>
        <v>WT</v>
      </c>
      <c r="G10">
        <v>315.7</v>
      </c>
    </row>
    <row r="11" spans="1:7" x14ac:dyDescent="0.25">
      <c r="A11" t="str">
        <f>REF!A11</f>
        <v>WC</v>
      </c>
      <c r="G11">
        <v>268.89999999999998</v>
      </c>
    </row>
    <row r="12" spans="1:7" x14ac:dyDescent="0.25">
      <c r="A12" t="str">
        <f>REF!A12</f>
        <v>WP</v>
      </c>
      <c r="G12">
        <v>20.43</v>
      </c>
    </row>
    <row r="13" spans="1:7" x14ac:dyDescent="0.25">
      <c r="A13" t="str">
        <f>REF!A13</f>
        <v>QBLR</v>
      </c>
      <c r="G13">
        <v>689.9</v>
      </c>
    </row>
    <row r="14" spans="1:7" x14ac:dyDescent="0.25">
      <c r="A14" t="str">
        <f>REF!A14</f>
        <v>QEVP</v>
      </c>
      <c r="G14">
        <v>42.65</v>
      </c>
    </row>
    <row r="15" spans="1:7" x14ac:dyDescent="0.25">
      <c r="A15" t="str">
        <f>REF!A15</f>
        <v>WN</v>
      </c>
      <c r="G15">
        <v>20</v>
      </c>
    </row>
    <row r="16" spans="1:7" x14ac:dyDescent="0.25">
      <c r="A16" t="str">
        <f>REF!A16</f>
        <v>QCND</v>
      </c>
      <c r="G16">
        <v>209.1</v>
      </c>
    </row>
    <row r="17" spans="1:7" x14ac:dyDescent="0.25">
      <c r="A17" t="str">
        <f>REF!A17</f>
        <v>QEXP</v>
      </c>
      <c r="G17">
        <v>35.380000000000003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BC939-F5FC-4EA6-B64F-83197E6073F7}">
  <dimension ref="A1:G17"/>
  <sheetViews>
    <sheetView zoomScale="148" zoomScaleNormal="148" workbookViewId="0">
      <selection sqref="A1:G1"/>
    </sheetView>
  </sheetViews>
  <sheetFormatPr baseColWidth="10" defaultRowHeight="15" x14ac:dyDescent="0.25"/>
  <sheetData>
    <row r="1" spans="1:7" x14ac:dyDescent="0.25">
      <c r="A1" t="str">
        <f>REF!A1</f>
        <v>key</v>
      </c>
      <c r="B1" t="str">
        <f>REF!B1</f>
        <v>m (kg/s)</v>
      </c>
      <c r="C1" t="str">
        <f>REF!C1</f>
        <v>T (ºC)</v>
      </c>
      <c r="D1" t="str">
        <f>REF!D1</f>
        <v>P (bar)</v>
      </c>
      <c r="E1" t="str">
        <f>REF!E1</f>
        <v>h( kJ/kg)</v>
      </c>
      <c r="F1" t="str">
        <f>REF!F1</f>
        <v>s (kj/kg K)</v>
      </c>
      <c r="G1" t="str">
        <f>REF!G1</f>
        <v>B (kW)</v>
      </c>
    </row>
    <row r="2" spans="1:7" x14ac:dyDescent="0.25">
      <c r="A2" t="str">
        <f>REF!A2</f>
        <v>B1</v>
      </c>
      <c r="B2">
        <v>6.54</v>
      </c>
      <c r="C2">
        <v>85</v>
      </c>
      <c r="D2">
        <v>14.86</v>
      </c>
      <c r="E2">
        <v>663.4</v>
      </c>
      <c r="F2">
        <v>2.3690000000000002</v>
      </c>
      <c r="G2">
        <v>702.3</v>
      </c>
    </row>
    <row r="3" spans="1:7" x14ac:dyDescent="0.25">
      <c r="A3" t="str">
        <f>REF!A3</f>
        <v>B2</v>
      </c>
      <c r="B3">
        <v>6.54</v>
      </c>
      <c r="C3">
        <v>44.52</v>
      </c>
      <c r="D3">
        <v>4.0449999999999999</v>
      </c>
      <c r="E3">
        <v>622.29999999999995</v>
      </c>
      <c r="F3">
        <v>2.4020000000000001</v>
      </c>
      <c r="G3">
        <v>370.8</v>
      </c>
    </row>
    <row r="4" spans="1:7" x14ac:dyDescent="0.25">
      <c r="A4" t="str">
        <f>REF!A4</f>
        <v>B3</v>
      </c>
      <c r="B4">
        <v>6.54</v>
      </c>
      <c r="C4">
        <v>30</v>
      </c>
      <c r="D4">
        <v>4.0449999999999999</v>
      </c>
      <c r="E4">
        <v>271.8</v>
      </c>
      <c r="F4">
        <v>1.248</v>
      </c>
      <c r="G4">
        <v>291.2</v>
      </c>
    </row>
    <row r="5" spans="1:7" x14ac:dyDescent="0.25">
      <c r="A5" t="str">
        <f>REF!A5</f>
        <v>B4</v>
      </c>
      <c r="B5">
        <v>6.54</v>
      </c>
      <c r="C5">
        <v>30.73</v>
      </c>
      <c r="D5">
        <v>14.86</v>
      </c>
      <c r="E5">
        <v>274.10000000000002</v>
      </c>
      <c r="F5">
        <v>1.2490000000000001</v>
      </c>
      <c r="G5">
        <v>304.2</v>
      </c>
    </row>
    <row r="6" spans="1:7" x14ac:dyDescent="0.25">
      <c r="A6" t="str">
        <f>REF!A6</f>
        <v>B5</v>
      </c>
      <c r="B6">
        <v>4.3150000000000004</v>
      </c>
      <c r="C6">
        <v>30</v>
      </c>
      <c r="D6">
        <v>4.0449999999999999</v>
      </c>
      <c r="E6">
        <v>271.8</v>
      </c>
      <c r="F6">
        <v>1.248</v>
      </c>
      <c r="G6">
        <v>192.1</v>
      </c>
    </row>
    <row r="7" spans="1:7" x14ac:dyDescent="0.25">
      <c r="A7" t="str">
        <f>REF!A7</f>
        <v>B6</v>
      </c>
      <c r="B7">
        <v>4.3150000000000004</v>
      </c>
      <c r="C7">
        <v>-5</v>
      </c>
      <c r="D7">
        <v>1.3069999999999999</v>
      </c>
      <c r="E7">
        <v>271.8</v>
      </c>
      <c r="F7">
        <v>1.268</v>
      </c>
      <c r="G7">
        <v>166</v>
      </c>
    </row>
    <row r="8" spans="1:7" x14ac:dyDescent="0.25">
      <c r="A8" t="str">
        <f>REF!A8</f>
        <v>B7</v>
      </c>
      <c r="B8">
        <v>4.3150000000000004</v>
      </c>
      <c r="C8">
        <v>-5</v>
      </c>
      <c r="D8">
        <v>1.3069999999999999</v>
      </c>
      <c r="E8">
        <v>548.29999999999995</v>
      </c>
      <c r="F8">
        <v>2.2999999999999998</v>
      </c>
      <c r="G8">
        <v>54.79</v>
      </c>
    </row>
    <row r="9" spans="1:7" x14ac:dyDescent="0.25">
      <c r="A9" t="str">
        <f>REF!A9</f>
        <v>B8</v>
      </c>
      <c r="B9">
        <v>4.3150000000000004</v>
      </c>
      <c r="C9">
        <v>33.26</v>
      </c>
      <c r="D9">
        <v>4.0449999999999999</v>
      </c>
      <c r="E9">
        <v>601.29999999999995</v>
      </c>
      <c r="F9">
        <v>2.3340000000000001</v>
      </c>
      <c r="G9">
        <v>239.1</v>
      </c>
    </row>
    <row r="10" spans="1:7" x14ac:dyDescent="0.25">
      <c r="A10" t="str">
        <f>REF!A10</f>
        <v>WT</v>
      </c>
      <c r="G10">
        <v>269</v>
      </c>
    </row>
    <row r="11" spans="1:7" x14ac:dyDescent="0.25">
      <c r="A11" t="str">
        <f>REF!A11</f>
        <v>WC</v>
      </c>
      <c r="G11">
        <v>228.3</v>
      </c>
    </row>
    <row r="12" spans="1:7" x14ac:dyDescent="0.25">
      <c r="A12" t="str">
        <f>REF!A12</f>
        <v>WP</v>
      </c>
      <c r="G12">
        <v>15.28</v>
      </c>
    </row>
    <row r="13" spans="1:7" x14ac:dyDescent="0.25">
      <c r="A13" t="str">
        <f>REF!A13</f>
        <v>QBLR</v>
      </c>
      <c r="G13">
        <v>560.79999999999995</v>
      </c>
    </row>
    <row r="14" spans="1:7" x14ac:dyDescent="0.25">
      <c r="A14" t="str">
        <f>REF!A14</f>
        <v>QEVP</v>
      </c>
      <c r="G14">
        <v>42.65</v>
      </c>
    </row>
    <row r="15" spans="1:7" x14ac:dyDescent="0.25">
      <c r="A15" t="str">
        <f>REF!A15</f>
        <v>WN</v>
      </c>
      <c r="G15">
        <v>20</v>
      </c>
    </row>
    <row r="16" spans="1:7" x14ac:dyDescent="0.25">
      <c r="A16" t="str">
        <f>REF!A16</f>
        <v>QCND</v>
      </c>
      <c r="G16">
        <v>126.6</v>
      </c>
    </row>
    <row r="17" spans="1:7" x14ac:dyDescent="0.25">
      <c r="A17" t="str">
        <f>REF!A17</f>
        <v>QEXP</v>
      </c>
      <c r="G17">
        <v>26.07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992F4-D4A5-4CB8-A860-F0EAB8FF4ADA}">
  <dimension ref="A1:G17"/>
  <sheetViews>
    <sheetView zoomScale="166" zoomScaleNormal="166" workbookViewId="0">
      <selection sqref="A1:A17"/>
    </sheetView>
  </sheetViews>
  <sheetFormatPr baseColWidth="10" defaultRowHeight="15" x14ac:dyDescent="0.25"/>
  <sheetData>
    <row r="1" spans="1:7" x14ac:dyDescent="0.25">
      <c r="A1" t="str">
        <f>REF!A1</f>
        <v>key</v>
      </c>
      <c r="B1" t="str">
        <f>REF!B1</f>
        <v>m (kg/s)</v>
      </c>
      <c r="C1" t="str">
        <f>REF!C1</f>
        <v>T (ºC)</v>
      </c>
      <c r="D1" t="str">
        <f>REF!D1</f>
        <v>P (bar)</v>
      </c>
      <c r="E1" t="str">
        <f>REF!E1</f>
        <v>h( kJ/kg)</v>
      </c>
      <c r="F1" t="str">
        <f>REF!F1</f>
        <v>s (kj/kg K)</v>
      </c>
      <c r="G1" t="str">
        <f>REF!G1</f>
        <v>B (kW)</v>
      </c>
    </row>
    <row r="2" spans="1:7" x14ac:dyDescent="0.25">
      <c r="A2" t="str">
        <f>REF!A2</f>
        <v>B1</v>
      </c>
      <c r="B2">
        <v>5.617</v>
      </c>
      <c r="C2">
        <v>90</v>
      </c>
      <c r="D2">
        <v>16.399999999999999</v>
      </c>
      <c r="E2">
        <v>668.6</v>
      </c>
      <c r="F2">
        <v>2.3730000000000002</v>
      </c>
      <c r="G2">
        <v>625.29999999999995</v>
      </c>
    </row>
    <row r="3" spans="1:7" x14ac:dyDescent="0.25">
      <c r="A3" t="str">
        <f>REF!A3</f>
        <v>B2</v>
      </c>
      <c r="B3">
        <v>5.617</v>
      </c>
      <c r="C3">
        <v>45.63</v>
      </c>
      <c r="D3">
        <v>4.0449999999999999</v>
      </c>
      <c r="E3">
        <v>624.4</v>
      </c>
      <c r="F3">
        <v>2.4079999999999999</v>
      </c>
      <c r="G3">
        <v>319.39999999999998</v>
      </c>
    </row>
    <row r="4" spans="1:7" x14ac:dyDescent="0.25">
      <c r="A4" t="str">
        <f>REF!A4</f>
        <v>B3</v>
      </c>
      <c r="B4">
        <v>5.617</v>
      </c>
      <c r="C4">
        <v>30</v>
      </c>
      <c r="D4">
        <v>4.0449999999999999</v>
      </c>
      <c r="E4">
        <v>271.8</v>
      </c>
      <c r="F4">
        <v>1.248</v>
      </c>
      <c r="G4">
        <v>250.1</v>
      </c>
    </row>
    <row r="5" spans="1:7" x14ac:dyDescent="0.25">
      <c r="A5" t="str">
        <f>REF!A5</f>
        <v>B4</v>
      </c>
      <c r="B5">
        <v>5.617</v>
      </c>
      <c r="C5">
        <v>30.84</v>
      </c>
      <c r="D5">
        <v>16.399999999999999</v>
      </c>
      <c r="E5">
        <v>274.5</v>
      </c>
      <c r="F5">
        <v>1.2490000000000001</v>
      </c>
      <c r="G5">
        <v>262.89999999999998</v>
      </c>
    </row>
    <row r="6" spans="1:7" x14ac:dyDescent="0.25">
      <c r="A6" t="str">
        <f>REF!A6</f>
        <v>B5</v>
      </c>
      <c r="B6">
        <v>4.3150000000000004</v>
      </c>
      <c r="C6">
        <v>30</v>
      </c>
      <c r="D6">
        <v>4.0449999999999999</v>
      </c>
      <c r="E6">
        <v>271.8</v>
      </c>
      <c r="F6">
        <v>1.248</v>
      </c>
      <c r="G6">
        <v>192.1</v>
      </c>
    </row>
    <row r="7" spans="1:7" x14ac:dyDescent="0.25">
      <c r="A7" t="str">
        <f>REF!A7</f>
        <v>B6</v>
      </c>
      <c r="B7">
        <v>4.3150000000000004</v>
      </c>
      <c r="C7">
        <v>-5</v>
      </c>
      <c r="D7">
        <v>1.3069999999999999</v>
      </c>
      <c r="E7">
        <v>271.8</v>
      </c>
      <c r="F7">
        <v>1.268</v>
      </c>
      <c r="G7">
        <v>166</v>
      </c>
    </row>
    <row r="8" spans="1:7" x14ac:dyDescent="0.25">
      <c r="A8" t="str">
        <f>REF!A8</f>
        <v>B7</v>
      </c>
      <c r="B8">
        <v>4.3150000000000004</v>
      </c>
      <c r="C8">
        <v>-5</v>
      </c>
      <c r="D8">
        <v>1.3069999999999999</v>
      </c>
      <c r="E8">
        <v>548.29999999999995</v>
      </c>
      <c r="F8">
        <v>2.2999999999999998</v>
      </c>
      <c r="G8">
        <v>54.79</v>
      </c>
    </row>
    <row r="9" spans="1:7" x14ac:dyDescent="0.25">
      <c r="A9" t="str">
        <f>REF!A9</f>
        <v>B8</v>
      </c>
      <c r="B9">
        <v>4.3150000000000004</v>
      </c>
      <c r="C9">
        <v>33.26</v>
      </c>
      <c r="D9">
        <v>4.0449999999999999</v>
      </c>
      <c r="E9">
        <v>601.29999999999995</v>
      </c>
      <c r="F9">
        <v>2.3340000000000001</v>
      </c>
      <c r="G9">
        <v>239.1</v>
      </c>
    </row>
    <row r="10" spans="1:7" x14ac:dyDescent="0.25">
      <c r="A10" t="str">
        <f>REF!A10</f>
        <v>WT</v>
      </c>
      <c r="G10">
        <v>248.3</v>
      </c>
    </row>
    <row r="11" spans="1:7" x14ac:dyDescent="0.25">
      <c r="A11" t="str">
        <f>REF!A11</f>
        <v>WC</v>
      </c>
      <c r="G11">
        <v>228.3</v>
      </c>
    </row>
    <row r="12" spans="1:7" x14ac:dyDescent="0.25">
      <c r="A12" t="str">
        <f>REF!A12</f>
        <v>WP</v>
      </c>
      <c r="G12">
        <v>15</v>
      </c>
    </row>
    <row r="13" spans="1:7" x14ac:dyDescent="0.25">
      <c r="A13" t="str">
        <f>REF!A13</f>
        <v>QBLR</v>
      </c>
      <c r="G13">
        <v>498.5</v>
      </c>
    </row>
    <row r="14" spans="1:7" x14ac:dyDescent="0.25">
      <c r="A14" t="str">
        <f>REF!A14</f>
        <v>QEVP</v>
      </c>
      <c r="G14">
        <v>42.65</v>
      </c>
    </row>
    <row r="15" spans="1:7" x14ac:dyDescent="0.25">
      <c r="A15" t="str">
        <f>REF!A15</f>
        <v>WN</v>
      </c>
      <c r="G15">
        <v>0</v>
      </c>
    </row>
    <row r="16" spans="1:7" x14ac:dyDescent="0.25">
      <c r="A16" t="str">
        <f>REF!A16</f>
        <v>QCND</v>
      </c>
      <c r="G16">
        <v>116.3</v>
      </c>
    </row>
    <row r="17" spans="1:7" x14ac:dyDescent="0.25">
      <c r="A17" t="str">
        <f>REF!A17</f>
        <v>QEXP</v>
      </c>
      <c r="G17">
        <v>26.07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4E4B1-E4DE-46F9-B827-629BA9997ECF}">
  <dimension ref="A1:G17"/>
  <sheetViews>
    <sheetView topLeftCell="A3" zoomScale="208" zoomScaleNormal="208" workbookViewId="0">
      <selection sqref="A1:G1"/>
    </sheetView>
  </sheetViews>
  <sheetFormatPr baseColWidth="10" defaultRowHeight="15" x14ac:dyDescent="0.25"/>
  <sheetData>
    <row r="1" spans="1:7" x14ac:dyDescent="0.25">
      <c r="A1" t="str">
        <f>REF!A1</f>
        <v>key</v>
      </c>
      <c r="B1" t="str">
        <f>REF!B1</f>
        <v>m (kg/s)</v>
      </c>
      <c r="C1" t="str">
        <f>REF!C1</f>
        <v>T (ºC)</v>
      </c>
      <c r="D1" t="str">
        <f>REF!D1</f>
        <v>P (bar)</v>
      </c>
      <c r="E1" t="str">
        <f>REF!E1</f>
        <v>h( kJ/kg)</v>
      </c>
      <c r="F1" t="str">
        <f>REF!F1</f>
        <v>s (kj/kg K)</v>
      </c>
      <c r="G1" t="str">
        <f>REF!G1</f>
        <v>B (kW)</v>
      </c>
    </row>
    <row r="2" spans="1:7" x14ac:dyDescent="0.25">
      <c r="A2" t="str">
        <f>REF!A2</f>
        <v>B1</v>
      </c>
      <c r="B2">
        <v>10.54</v>
      </c>
      <c r="C2">
        <v>90</v>
      </c>
      <c r="D2">
        <v>16.399999999999999</v>
      </c>
      <c r="E2">
        <v>668.6</v>
      </c>
      <c r="F2">
        <v>2.3730000000000002</v>
      </c>
      <c r="G2">
        <v>1173</v>
      </c>
    </row>
    <row r="3" spans="1:7" x14ac:dyDescent="0.25">
      <c r="A3" t="str">
        <f>REF!A3</f>
        <v>B2</v>
      </c>
      <c r="B3">
        <v>10.54</v>
      </c>
      <c r="C3">
        <v>45.63</v>
      </c>
      <c r="D3">
        <v>4.0449999999999999</v>
      </c>
      <c r="E3">
        <v>624.4</v>
      </c>
      <c r="F3">
        <v>2.4079999999999999</v>
      </c>
      <c r="G3">
        <v>599.1</v>
      </c>
    </row>
    <row r="4" spans="1:7" x14ac:dyDescent="0.25">
      <c r="A4" t="str">
        <f>REF!A4</f>
        <v>B3</v>
      </c>
      <c r="B4">
        <v>10.54</v>
      </c>
      <c r="C4">
        <v>30</v>
      </c>
      <c r="D4">
        <v>4.0449999999999999</v>
      </c>
      <c r="E4">
        <v>271.8</v>
      </c>
      <c r="F4">
        <v>1.248</v>
      </c>
      <c r="G4">
        <v>469.1</v>
      </c>
    </row>
    <row r="5" spans="1:7" x14ac:dyDescent="0.25">
      <c r="A5" t="str">
        <f>REF!A5</f>
        <v>B4</v>
      </c>
      <c r="B5">
        <v>10.54</v>
      </c>
      <c r="C5">
        <v>30.84</v>
      </c>
      <c r="D5">
        <v>16.399999999999999</v>
      </c>
      <c r="E5">
        <v>274.5</v>
      </c>
      <c r="F5">
        <v>1.2490000000000001</v>
      </c>
      <c r="G5">
        <v>493.2</v>
      </c>
    </row>
    <row r="6" spans="1:7" x14ac:dyDescent="0.25">
      <c r="A6" t="str">
        <f>REF!A6</f>
        <v>B5</v>
      </c>
      <c r="B6">
        <v>4.3150000000000004</v>
      </c>
      <c r="C6">
        <v>30</v>
      </c>
      <c r="D6">
        <v>4.0449999999999999</v>
      </c>
      <c r="E6">
        <v>271.8</v>
      </c>
      <c r="F6">
        <v>1.248</v>
      </c>
      <c r="G6">
        <v>192.1</v>
      </c>
    </row>
    <row r="7" spans="1:7" x14ac:dyDescent="0.25">
      <c r="A7" t="str">
        <f>REF!A7</f>
        <v>B6</v>
      </c>
      <c r="B7">
        <v>4.3150000000000004</v>
      </c>
      <c r="C7">
        <v>-5</v>
      </c>
      <c r="D7">
        <v>1.3069999999999999</v>
      </c>
      <c r="E7">
        <v>271.8</v>
      </c>
      <c r="F7">
        <v>1.268</v>
      </c>
      <c r="G7">
        <v>166</v>
      </c>
    </row>
    <row r="8" spans="1:7" x14ac:dyDescent="0.25">
      <c r="A8" t="str">
        <f>REF!A8</f>
        <v>B7</v>
      </c>
      <c r="B8">
        <v>4.3150000000000004</v>
      </c>
      <c r="C8">
        <v>-5</v>
      </c>
      <c r="D8">
        <v>1.3069999999999999</v>
      </c>
      <c r="E8">
        <v>548.29999999999995</v>
      </c>
      <c r="F8">
        <v>2.2999999999999998</v>
      </c>
      <c r="G8">
        <v>54.79</v>
      </c>
    </row>
    <row r="9" spans="1:7" x14ac:dyDescent="0.25">
      <c r="A9" t="str">
        <f>REF!A9</f>
        <v>B8</v>
      </c>
      <c r="B9">
        <v>4.3150000000000004</v>
      </c>
      <c r="C9">
        <v>33.26</v>
      </c>
      <c r="D9">
        <v>4.0449999999999999</v>
      </c>
      <c r="E9">
        <v>601.29999999999995</v>
      </c>
      <c r="F9">
        <v>2.3340000000000001</v>
      </c>
      <c r="G9">
        <v>239.1</v>
      </c>
    </row>
    <row r="10" spans="1:7" x14ac:dyDescent="0.25">
      <c r="A10" t="str">
        <f>REF!A10</f>
        <v>WT</v>
      </c>
      <c r="G10">
        <v>465.8</v>
      </c>
    </row>
    <row r="11" spans="1:7" x14ac:dyDescent="0.25">
      <c r="A11" t="str">
        <f>REF!A11</f>
        <v>WC</v>
      </c>
      <c r="G11">
        <v>228.3</v>
      </c>
    </row>
    <row r="12" spans="1:7" x14ac:dyDescent="0.25">
      <c r="A12" t="str">
        <f>REF!A12</f>
        <v>WP</v>
      </c>
      <c r="G12">
        <v>28.14</v>
      </c>
    </row>
    <row r="13" spans="1:7" x14ac:dyDescent="0.25">
      <c r="A13" t="str">
        <f>REF!A13</f>
        <v>QBLR</v>
      </c>
      <c r="G13">
        <v>935.1</v>
      </c>
    </row>
    <row r="14" spans="1:7" x14ac:dyDescent="0.25">
      <c r="A14" t="str">
        <f>REF!A14</f>
        <v>QEVP</v>
      </c>
      <c r="G14">
        <v>42.65</v>
      </c>
    </row>
    <row r="15" spans="1:7" x14ac:dyDescent="0.25">
      <c r="A15" t="str">
        <f>REF!A15</f>
        <v>WN</v>
      </c>
      <c r="G15">
        <v>200</v>
      </c>
    </row>
    <row r="16" spans="1:7" x14ac:dyDescent="0.25">
      <c r="A16" t="str">
        <f>REF!A16</f>
        <v>QCND</v>
      </c>
      <c r="G16">
        <v>176.9</v>
      </c>
    </row>
    <row r="17" spans="1:7" x14ac:dyDescent="0.25">
      <c r="A17" t="str">
        <f>REF!A17</f>
        <v>QEXP</v>
      </c>
      <c r="G17">
        <v>26.07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</vt:i4>
      </vt:variant>
    </vt:vector>
  </HeadingPairs>
  <TitlesOfParts>
    <vt:vector size="15" baseType="lpstr">
      <vt:lpstr>Physical Diagram</vt:lpstr>
      <vt:lpstr>Validate</vt:lpstr>
      <vt:lpstr>Flows</vt:lpstr>
      <vt:lpstr>Processes</vt:lpstr>
      <vt:lpstr>Exergy</vt:lpstr>
      <vt:lpstr>Format</vt:lpstr>
      <vt:lpstr>WasteDefinition</vt:lpstr>
      <vt:lpstr>REF</vt:lpstr>
      <vt:lpstr>ETAT75</vt:lpstr>
      <vt:lpstr>ETAC75</vt:lpstr>
      <vt:lpstr>TCND35</vt:lpstr>
      <vt:lpstr>TBLR85</vt:lpstr>
      <vt:lpstr>WN0</vt:lpstr>
      <vt:lpstr>WN200</vt:lpstr>
      <vt:lpstr>Format!tgas_fmt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Torres Cuadra</dc:creator>
  <cp:lastModifiedBy>César Torres Cuadra</cp:lastModifiedBy>
  <dcterms:created xsi:type="dcterms:W3CDTF">2022-12-13T08:34:32Z</dcterms:created>
  <dcterms:modified xsi:type="dcterms:W3CDTF">2026-05-15T14:05:25Z</dcterms:modified>
</cp:coreProperties>
</file>