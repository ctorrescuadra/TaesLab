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torr\Documents\Proyectos\TaesLab\Examples\orcvcr\"/>
    </mc:Choice>
  </mc:AlternateContent>
  <xr:revisionPtr revIDLastSave="0" documentId="13_ncr:1_{CC4A5A24-B3F8-4D4C-8FAC-CC3D631BCBAE}" xr6:coauthVersionLast="47" xr6:coauthVersionMax="47" xr10:uidLastSave="{00000000-0000-0000-0000-000000000000}"/>
  <bookViews>
    <workbookView xWindow="9255" yWindow="780" windowWidth="18630" windowHeight="14700" activeTab="3" xr2:uid="{E29BBF69-888A-4B0D-A36F-5F6BD99DC033}"/>
  </bookViews>
  <sheets>
    <sheet name="Physical Diagram" sheetId="1" r:id="rId1"/>
    <sheet name="Validate" sheetId="2" r:id="rId2"/>
    <sheet name="Flows" sheetId="3" r:id="rId3"/>
    <sheet name="Processes" sheetId="4" r:id="rId4"/>
    <sheet name="Exergy" sheetId="6" r:id="rId5"/>
    <sheet name="Format" sheetId="5" r:id="rId6"/>
    <sheet name="WasteDefinition" sheetId="7" r:id="rId7"/>
    <sheet name="WasteAllocation" sheetId="8" r:id="rId8"/>
    <sheet name="ResourcesCost" sheetId="9" r:id="rId9"/>
  </sheets>
  <definedNames>
    <definedName name="DATOS" localSheetId="4">Exergy!#REF!</definedName>
    <definedName name="tgas_fmt" localSheetId="5">Format!$A$1:$D$7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7" i="6" l="1"/>
  <c r="J16" i="6"/>
  <c r="I17" i="6"/>
  <c r="I16" i="6"/>
  <c r="G17" i="6"/>
  <c r="G16" i="6"/>
  <c r="D16" i="6"/>
  <c r="C17" i="6"/>
  <c r="D17" i="6"/>
  <c r="E17" i="6"/>
  <c r="F17" i="6"/>
  <c r="B17" i="6"/>
  <c r="C16" i="6"/>
  <c r="E16" i="6"/>
  <c r="F16" i="6"/>
  <c r="B16" i="6"/>
  <c r="H17" i="6"/>
  <c r="H16" i="6"/>
  <c r="A4" i="9"/>
  <c r="A5" i="9"/>
  <c r="A6" i="9"/>
  <c r="A7" i="9"/>
  <c r="A8" i="9"/>
  <c r="A9" i="9"/>
  <c r="A10" i="9"/>
  <c r="A3" i="9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4000000}" name="tgas_fmt" type="6" refreshedVersion="6" deleted="1" background="1" saveData="1">
    <textPr codePage="850" sourceFile="C:\Users\es17155931r\Personal\Termoeconomia\ExIOLab2\Ejemplos\tgas\tgas_fmt.csv" comma="1">
      <textFields count="4"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<sst xmlns="http://schemas.openxmlformats.org/spreadsheetml/2006/main" count="166" uniqueCount="89">
  <si>
    <t>Flows</t>
  </si>
  <si>
    <t>Processes</t>
  </si>
  <si>
    <t>Wastes</t>
  </si>
  <si>
    <t>Resources</t>
  </si>
  <si>
    <t>RESOURCE</t>
  </si>
  <si>
    <t>PRODUCTIVE</t>
  </si>
  <si>
    <t>DEFAULT</t>
  </si>
  <si>
    <t>FLOW</t>
  </si>
  <si>
    <t>INTERNAL</t>
  </si>
  <si>
    <t>DISSIPATIVE</t>
  </si>
  <si>
    <t>MANUAL</t>
  </si>
  <si>
    <t>PROCESS</t>
  </si>
  <si>
    <t>OUTPUT</t>
  </si>
  <si>
    <t>RESOURCES</t>
  </si>
  <si>
    <t>WASTE</t>
  </si>
  <si>
    <t>EXERGY</t>
  </si>
  <si>
    <t>COST</t>
  </si>
  <si>
    <t>IRREVERSIBILITY</t>
  </si>
  <si>
    <t>HYBRID</t>
  </si>
  <si>
    <t>key</t>
  </si>
  <si>
    <t>type</t>
  </si>
  <si>
    <t>B1</t>
  </si>
  <si>
    <t>B2</t>
  </si>
  <si>
    <t>B3</t>
  </si>
  <si>
    <t>B4</t>
  </si>
  <si>
    <t>B5</t>
  </si>
  <si>
    <t>B6</t>
  </si>
  <si>
    <t>B7</t>
  </si>
  <si>
    <t>B8</t>
  </si>
  <si>
    <t>WT</t>
  </si>
  <si>
    <t>WC</t>
  </si>
  <si>
    <t>WP</t>
  </si>
  <si>
    <t>QEVP</t>
  </si>
  <si>
    <t>WN</t>
  </si>
  <si>
    <t>description</t>
  </si>
  <si>
    <t>fuel</t>
  </si>
  <si>
    <t>product</t>
  </si>
  <si>
    <t>BLR</t>
  </si>
  <si>
    <t>TRB</t>
  </si>
  <si>
    <t>PMP</t>
  </si>
  <si>
    <t>CMP</t>
  </si>
  <si>
    <t>VEXP</t>
  </si>
  <si>
    <t>EVAP</t>
  </si>
  <si>
    <t>GEN</t>
  </si>
  <si>
    <t>CND</t>
  </si>
  <si>
    <t>Boiler</t>
  </si>
  <si>
    <t>Turbine</t>
  </si>
  <si>
    <t>Pump</t>
  </si>
  <si>
    <t>Compresor</t>
  </si>
  <si>
    <t>Expansion Valve</t>
  </si>
  <si>
    <t>Evaporator</t>
  </si>
  <si>
    <t>Alternator</t>
  </si>
  <si>
    <t>Condeser</t>
  </si>
  <si>
    <t>QBLR</t>
  </si>
  <si>
    <t>QCND</t>
  </si>
  <si>
    <t>B1-B4</t>
  </si>
  <si>
    <t>(B2-B3)+(B8-B5)</t>
  </si>
  <si>
    <t>B4-B3</t>
  </si>
  <si>
    <t>B1-B2</t>
  </si>
  <si>
    <t>B8-B7</t>
  </si>
  <si>
    <t>B6-B7</t>
  </si>
  <si>
    <t>B5-B6</t>
  </si>
  <si>
    <t>width</t>
  </si>
  <si>
    <t>precision</t>
  </si>
  <si>
    <t>unit</t>
  </si>
  <si>
    <t>EXERGY_COST</t>
  </si>
  <si>
    <t>EXERGY_UNIT_COST</t>
  </si>
  <si>
    <t>(J/J)</t>
  </si>
  <si>
    <t>GENERALIZED_COST</t>
  </si>
  <si>
    <t>GENERALIZED_UNIT_COST</t>
  </si>
  <si>
    <t>DIAGNOSIS</t>
  </si>
  <si>
    <t>recycle</t>
  </si>
  <si>
    <t>QEXP</t>
  </si>
  <si>
    <t xml:space="preserve">type </t>
  </si>
  <si>
    <t>Base</t>
  </si>
  <si>
    <t>(kW)</t>
  </si>
  <si>
    <t>(c/h)</t>
  </si>
  <si>
    <t>(c/kWh)</t>
  </si>
  <si>
    <t>REF</t>
  </si>
  <si>
    <t>ETAT75</t>
  </si>
  <si>
    <t>ETAC75</t>
  </si>
  <si>
    <t>CG</t>
  </si>
  <si>
    <t>TBLR85</t>
  </si>
  <si>
    <t>WC+WP+WN</t>
  </si>
  <si>
    <t>WN200</t>
  </si>
  <si>
    <t>TCND35</t>
  </si>
  <si>
    <t>WN0</t>
  </si>
  <si>
    <t>TA30</t>
  </si>
  <si>
    <t>TA30V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</si>
</sst>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6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onnections" Target="connection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504826</xdr:colOff>
      <xdr:row>1</xdr:row>
      <xdr:rowOff>57150</xdr:rowOff>
    </xdr:from>
    <xdr:to>
      <xdr:col>12</xdr:col>
      <xdr:colOff>219076</xdr:colOff>
      <xdr:row>33</xdr:row>
      <xdr:rowOff>137195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BBE3C8C7-9245-6770-EE35-61B156C939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6826" y="247650"/>
          <a:ext cx="8096250" cy="6176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tgas_fmt" connectionId="1" xr16:uid="{002D99B8-B987-44F1-A87D-4E0A74F66989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68D3E4-010E-4788-A9F8-CA0EF30DA26F}">
  <sheetPr>
    <tabColor rgb="FFC00000"/>
  </sheetPr>
  <dimension ref="A1"/>
  <sheetViews>
    <sheetView showGridLines="0" showRowColHeaders="0" workbookViewId="0">
      <selection activeCell="A7" sqref="A7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213800-A950-44A1-BB52-0D1CAAE801BF}">
  <sheetPr>
    <tabColor rgb="FFC00000"/>
  </sheetPr>
  <dimension ref="A1:D8"/>
  <sheetViews>
    <sheetView workbookViewId="0">
      <selection sqref="A1:D1"/>
    </sheetView>
  </sheetViews>
  <sheetFormatPr baseColWidth="10" defaultRowHeight="15" x14ac:dyDescent="0.25"/>
  <cols>
    <col min="2" max="2" width="12.7109375" customWidth="1"/>
    <col min="3" max="3" width="15.140625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4</v>
      </c>
      <c r="B2" t="s">
        <v>5</v>
      </c>
      <c r="C2" t="s">
        <v>6</v>
      </c>
      <c r="D2" t="s">
        <v>7</v>
      </c>
    </row>
    <row r="3" spans="1:4" x14ac:dyDescent="0.25">
      <c r="A3" t="s">
        <v>8</v>
      </c>
      <c r="B3" t="s">
        <v>9</v>
      </c>
      <c r="C3" t="s">
        <v>10</v>
      </c>
      <c r="D3" t="s">
        <v>11</v>
      </c>
    </row>
    <row r="4" spans="1:4" x14ac:dyDescent="0.25">
      <c r="A4" t="s">
        <v>12</v>
      </c>
      <c r="C4" t="s">
        <v>13</v>
      </c>
    </row>
    <row r="5" spans="1:4" x14ac:dyDescent="0.25">
      <c r="A5" t="s">
        <v>14</v>
      </c>
      <c r="C5" t="s">
        <v>15</v>
      </c>
    </row>
    <row r="6" spans="1:4" x14ac:dyDescent="0.25">
      <c r="C6" t="s">
        <v>16</v>
      </c>
    </row>
    <row r="7" spans="1:4" x14ac:dyDescent="0.25">
      <c r="C7" t="s">
        <v>17</v>
      </c>
    </row>
    <row r="8" spans="1:4" x14ac:dyDescent="0.25">
      <c r="C8" t="s">
        <v>18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800F1F-DBEE-4C6D-A6B2-333F3D8AE415}">
  <dimension ref="A1:B17"/>
  <sheetViews>
    <sheetView workbookViewId="0">
      <selection activeCell="A10" sqref="A10"/>
    </sheetView>
  </sheetViews>
  <sheetFormatPr baseColWidth="10" defaultRowHeight="15" x14ac:dyDescent="0.25"/>
  <sheetData>
    <row r="1" spans="1:2" x14ac:dyDescent="0.25">
      <c r="A1" s="1" t="s">
        <v>19</v>
      </c>
      <c r="B1" s="1" t="s">
        <v>20</v>
      </c>
    </row>
    <row r="2" spans="1:2" x14ac:dyDescent="0.25">
      <c r="A2" t="s">
        <v>21</v>
      </c>
      <c r="B2" t="s">
        <v>8</v>
      </c>
    </row>
    <row r="3" spans="1:2" x14ac:dyDescent="0.25">
      <c r="A3" t="s">
        <v>22</v>
      </c>
      <c r="B3" t="s">
        <v>8</v>
      </c>
    </row>
    <row r="4" spans="1:2" x14ac:dyDescent="0.25">
      <c r="A4" t="s">
        <v>23</v>
      </c>
      <c r="B4" t="s">
        <v>8</v>
      </c>
    </row>
    <row r="5" spans="1:2" x14ac:dyDescent="0.25">
      <c r="A5" t="s">
        <v>24</v>
      </c>
      <c r="B5" t="s">
        <v>8</v>
      </c>
    </row>
    <row r="6" spans="1:2" x14ac:dyDescent="0.25">
      <c r="A6" t="s">
        <v>25</v>
      </c>
      <c r="B6" t="s">
        <v>8</v>
      </c>
    </row>
    <row r="7" spans="1:2" x14ac:dyDescent="0.25">
      <c r="A7" t="s">
        <v>26</v>
      </c>
      <c r="B7" t="s">
        <v>8</v>
      </c>
    </row>
    <row r="8" spans="1:2" x14ac:dyDescent="0.25">
      <c r="A8" t="s">
        <v>27</v>
      </c>
      <c r="B8" t="s">
        <v>8</v>
      </c>
    </row>
    <row r="9" spans="1:2" x14ac:dyDescent="0.25">
      <c r="A9" t="s">
        <v>28</v>
      </c>
      <c r="B9" t="s">
        <v>8</v>
      </c>
    </row>
    <row r="10" spans="1:2" x14ac:dyDescent="0.25">
      <c r="A10" t="s">
        <v>29</v>
      </c>
      <c r="B10" t="s">
        <v>8</v>
      </c>
    </row>
    <row r="11" spans="1:2" x14ac:dyDescent="0.25">
      <c r="A11" t="s">
        <v>30</v>
      </c>
      <c r="B11" t="s">
        <v>8</v>
      </c>
    </row>
    <row r="12" spans="1:2" x14ac:dyDescent="0.25">
      <c r="A12" t="s">
        <v>31</v>
      </c>
      <c r="B12" t="s">
        <v>8</v>
      </c>
    </row>
    <row r="13" spans="1:2" x14ac:dyDescent="0.25">
      <c r="A13" t="s">
        <v>53</v>
      </c>
      <c r="B13" t="s">
        <v>4</v>
      </c>
    </row>
    <row r="14" spans="1:2" x14ac:dyDescent="0.25">
      <c r="A14" t="s">
        <v>32</v>
      </c>
      <c r="B14" t="s">
        <v>12</v>
      </c>
    </row>
    <row r="15" spans="1:2" x14ac:dyDescent="0.25">
      <c r="A15" t="s">
        <v>33</v>
      </c>
      <c r="B15" t="s">
        <v>12</v>
      </c>
    </row>
    <row r="16" spans="1:2" x14ac:dyDescent="0.25">
      <c r="A16" t="s">
        <v>54</v>
      </c>
      <c r="B16" t="s">
        <v>14</v>
      </c>
    </row>
    <row r="17" spans="1:2" x14ac:dyDescent="0.25">
      <c r="A17" t="s">
        <v>72</v>
      </c>
      <c r="B17" t="s">
        <v>14</v>
      </c>
    </row>
  </sheetData>
  <phoneticPr fontId="1" type="noConversion"/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1DF461F-E68B-43F9-998F-C3C7EDFF24BA}">
          <x14:formula1>
            <xm:f>Validate!$A$2:$A$5</xm:f>
          </x14:formula1>
          <xm:sqref>B2:B16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E5D138-EAF1-4FBB-AB5C-0C0C44730BFD}">
  <dimension ref="A1:E9"/>
  <sheetViews>
    <sheetView tabSelected="1" workbookViewId="0">
      <selection activeCell="C19" sqref="C19"/>
    </sheetView>
  </sheetViews>
  <sheetFormatPr baseColWidth="10" defaultRowHeight="15" x14ac:dyDescent="0.25"/>
  <cols>
    <col min="2" max="2" width="15.7109375" customWidth="1"/>
    <col min="3" max="3" width="16" customWidth="1"/>
    <col min="4" max="4" width="14.5703125" customWidth="1"/>
    <col min="5" max="5" width="16.140625" customWidth="1"/>
    <col min="6" max="6" width="16.85546875" customWidth="1"/>
  </cols>
  <sheetData>
    <row r="1" spans="1:5" x14ac:dyDescent="0.25">
      <c r="A1" s="1" t="s">
        <v>19</v>
      </c>
      <c r="B1" s="1" t="s">
        <v>20</v>
      </c>
      <c r="C1" s="1" t="s">
        <v>35</v>
      </c>
      <c r="D1" s="1" t="s">
        <v>36</v>
      </c>
      <c r="E1" s="1" t="s">
        <v>34</v>
      </c>
    </row>
    <row r="2" spans="1:5" x14ac:dyDescent="0.25">
      <c r="A2" t="s">
        <v>37</v>
      </c>
      <c r="B2" t="s">
        <v>5</v>
      </c>
      <c r="C2" t="s">
        <v>53</v>
      </c>
      <c r="D2" t="s">
        <v>55</v>
      </c>
      <c r="E2" t="s">
        <v>45</v>
      </c>
    </row>
    <row r="3" spans="1:5" x14ac:dyDescent="0.25">
      <c r="A3" t="s">
        <v>38</v>
      </c>
      <c r="B3" t="s">
        <v>5</v>
      </c>
      <c r="C3" t="s">
        <v>58</v>
      </c>
      <c r="D3" t="s">
        <v>29</v>
      </c>
      <c r="E3" t="s">
        <v>46</v>
      </c>
    </row>
    <row r="4" spans="1:5" x14ac:dyDescent="0.25">
      <c r="A4" t="s">
        <v>39</v>
      </c>
      <c r="B4" t="s">
        <v>5</v>
      </c>
      <c r="C4" t="s">
        <v>31</v>
      </c>
      <c r="D4" t="s">
        <v>57</v>
      </c>
      <c r="E4" t="s">
        <v>47</v>
      </c>
    </row>
    <row r="5" spans="1:5" x14ac:dyDescent="0.25">
      <c r="A5" t="s">
        <v>40</v>
      </c>
      <c r="B5" t="s">
        <v>5</v>
      </c>
      <c r="C5" t="s">
        <v>30</v>
      </c>
      <c r="D5" t="s">
        <v>59</v>
      </c>
      <c r="E5" t="s">
        <v>48</v>
      </c>
    </row>
    <row r="6" spans="1:5" x14ac:dyDescent="0.25">
      <c r="A6" t="s">
        <v>42</v>
      </c>
      <c r="B6" t="s">
        <v>5</v>
      </c>
      <c r="C6" t="s">
        <v>60</v>
      </c>
      <c r="D6" t="s">
        <v>32</v>
      </c>
      <c r="E6" t="s">
        <v>50</v>
      </c>
    </row>
    <row r="7" spans="1:5" x14ac:dyDescent="0.25">
      <c r="A7" t="s">
        <v>43</v>
      </c>
      <c r="B7" t="s">
        <v>5</v>
      </c>
      <c r="C7" t="s">
        <v>29</v>
      </c>
      <c r="D7" t="s">
        <v>83</v>
      </c>
      <c r="E7" t="s">
        <v>51</v>
      </c>
    </row>
    <row r="8" spans="1:5" x14ac:dyDescent="0.25">
      <c r="A8" t="s">
        <v>41</v>
      </c>
      <c r="B8" t="s">
        <v>9</v>
      </c>
      <c r="C8" t="s">
        <v>61</v>
      </c>
      <c r="D8" t="s">
        <v>72</v>
      </c>
      <c r="E8" t="s">
        <v>49</v>
      </c>
    </row>
    <row r="9" spans="1:5" x14ac:dyDescent="0.25">
      <c r="A9" t="s">
        <v>44</v>
      </c>
      <c r="B9" t="s">
        <v>9</v>
      </c>
      <c r="C9" t="s">
        <v>56</v>
      </c>
      <c r="D9" t="s">
        <v>54</v>
      </c>
      <c r="E9" t="s">
        <v>52</v>
      </c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2BE88571-8995-4BD3-A566-422AE271558A}">
          <x14:formula1>
            <xm:f>Validate!$B$2:$B$3</xm:f>
          </x14:formula1>
          <xm:sqref>B8 B2:B7 B9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71C192-3DC3-406B-9DFF-73A67AE08F6E}">
  <dimension ref="A1:J17"/>
  <sheetViews>
    <sheetView workbookViewId="0">
      <selection activeCell="G12" sqref="G12"/>
    </sheetView>
  </sheetViews>
  <sheetFormatPr baseColWidth="10" defaultRowHeight="15" x14ac:dyDescent="0.25"/>
  <sheetData>
    <row r="1" spans="1:10" x14ac:dyDescent="0.25">
      <c r="A1" t="s">
        <v>19</v>
      </c>
      <c r="B1" t="s">
        <v>78</v>
      </c>
      <c r="C1" t="s">
        <v>79</v>
      </c>
      <c r="D1" t="s">
        <v>80</v>
      </c>
      <c r="E1" t="s">
        <v>85</v>
      </c>
      <c r="F1" t="s">
        <v>82</v>
      </c>
      <c r="G1" t="s">
        <v>86</v>
      </c>
      <c r="H1" t="s">
        <v>84</v>
      </c>
      <c r="I1" t="s">
        <v>87</v>
      </c>
      <c r="J1" t="s">
        <v>88</v>
      </c>
    </row>
    <row r="2" spans="1:10" x14ac:dyDescent="0.25">
      <c r="A2" t="s">
        <v>21</v>
      </c>
      <c r="B2">
        <v>684.6</v>
      </c>
      <c r="C2">
        <v>733.5</v>
      </c>
      <c r="D2">
        <v>684.6</v>
      </c>
      <c r="E2">
        <v>765.4</v>
      </c>
      <c r="F2">
        <v>707.1</v>
      </c>
      <c r="G2">
        <v>629.79999999999995</v>
      </c>
      <c r="H2">
        <v>1178</v>
      </c>
      <c r="I2">
        <v>672</v>
      </c>
      <c r="J2">
        <v>937.3</v>
      </c>
    </row>
    <row r="3" spans="1:10" x14ac:dyDescent="0.25">
      <c r="A3" t="s">
        <v>22</v>
      </c>
      <c r="B3">
        <v>349.7</v>
      </c>
      <c r="C3">
        <v>376.1</v>
      </c>
      <c r="D3">
        <v>349.7</v>
      </c>
      <c r="E3">
        <v>429.6</v>
      </c>
      <c r="F3">
        <v>373.3</v>
      </c>
      <c r="G3">
        <v>321.7</v>
      </c>
      <c r="H3">
        <v>601.4</v>
      </c>
      <c r="I3">
        <v>343.2</v>
      </c>
      <c r="J3">
        <v>478.7</v>
      </c>
    </row>
    <row r="4" spans="1:10" x14ac:dyDescent="0.25">
      <c r="A4" t="s">
        <v>23</v>
      </c>
      <c r="B4">
        <v>273.8</v>
      </c>
      <c r="C4">
        <v>293.39999999999998</v>
      </c>
      <c r="D4">
        <v>273.8</v>
      </c>
      <c r="E4">
        <v>310.39999999999998</v>
      </c>
      <c r="F4">
        <v>293.10000000000002</v>
      </c>
      <c r="G4">
        <v>251.9</v>
      </c>
      <c r="H4">
        <v>471</v>
      </c>
      <c r="I4">
        <v>268.8</v>
      </c>
      <c r="J4">
        <v>374.9</v>
      </c>
    </row>
    <row r="5" spans="1:10" x14ac:dyDescent="0.25">
      <c r="A5" t="s">
        <v>24</v>
      </c>
      <c r="B5">
        <v>287.89999999999998</v>
      </c>
      <c r="C5">
        <v>308.39999999999998</v>
      </c>
      <c r="D5">
        <v>287.89999999999998</v>
      </c>
      <c r="E5">
        <v>325.5</v>
      </c>
      <c r="F5">
        <v>306.3</v>
      </c>
      <c r="G5">
        <v>264.8</v>
      </c>
      <c r="H5">
        <v>495.1</v>
      </c>
      <c r="I5">
        <v>282.60000000000002</v>
      </c>
      <c r="J5">
        <v>394.1</v>
      </c>
    </row>
    <row r="6" spans="1:10" x14ac:dyDescent="0.25">
      <c r="A6" t="s">
        <v>25</v>
      </c>
      <c r="B6">
        <v>193.5</v>
      </c>
      <c r="C6">
        <v>193.5</v>
      </c>
      <c r="D6">
        <v>181.4</v>
      </c>
      <c r="E6">
        <v>174.5</v>
      </c>
      <c r="F6">
        <v>193.5</v>
      </c>
      <c r="G6">
        <v>193.5</v>
      </c>
      <c r="H6">
        <v>193.5</v>
      </c>
      <c r="I6">
        <v>193.5</v>
      </c>
      <c r="J6">
        <v>276.7</v>
      </c>
    </row>
    <row r="7" spans="1:10" x14ac:dyDescent="0.25">
      <c r="A7" t="s">
        <v>26</v>
      </c>
      <c r="B7">
        <v>167.2</v>
      </c>
      <c r="C7">
        <v>167.2</v>
      </c>
      <c r="D7">
        <v>156.80000000000001</v>
      </c>
      <c r="E7">
        <v>144.19999999999999</v>
      </c>
      <c r="F7">
        <v>167.2</v>
      </c>
      <c r="G7">
        <v>167.2</v>
      </c>
      <c r="H7">
        <v>167.2</v>
      </c>
      <c r="I7">
        <v>167.2</v>
      </c>
      <c r="J7">
        <v>239.1</v>
      </c>
    </row>
    <row r="8" spans="1:10" x14ac:dyDescent="0.25">
      <c r="A8" t="s">
        <v>27</v>
      </c>
      <c r="B8">
        <v>55.19</v>
      </c>
      <c r="C8">
        <v>55.19</v>
      </c>
      <c r="D8">
        <v>51.74</v>
      </c>
      <c r="E8">
        <v>49.08</v>
      </c>
      <c r="F8">
        <v>55.19</v>
      </c>
      <c r="G8">
        <v>55.19</v>
      </c>
      <c r="H8">
        <v>55.19</v>
      </c>
      <c r="I8">
        <v>55.19</v>
      </c>
      <c r="J8">
        <v>78.91</v>
      </c>
    </row>
    <row r="9" spans="1:10" x14ac:dyDescent="0.25">
      <c r="A9" t="s">
        <v>28</v>
      </c>
      <c r="B9">
        <v>240.8</v>
      </c>
      <c r="C9">
        <v>240.8</v>
      </c>
      <c r="D9">
        <v>226.5</v>
      </c>
      <c r="E9">
        <v>235.4</v>
      </c>
      <c r="F9">
        <v>240.8</v>
      </c>
      <c r="G9">
        <v>240.8</v>
      </c>
      <c r="H9">
        <v>240.8</v>
      </c>
      <c r="I9">
        <v>240.8</v>
      </c>
      <c r="J9">
        <v>344.4</v>
      </c>
    </row>
    <row r="10" spans="1:10" x14ac:dyDescent="0.25">
      <c r="A10" t="s">
        <v>29</v>
      </c>
      <c r="B10">
        <v>271.89999999999998</v>
      </c>
      <c r="C10">
        <v>273.10000000000002</v>
      </c>
      <c r="D10">
        <v>271.89999999999998</v>
      </c>
      <c r="E10">
        <v>273.10000000000002</v>
      </c>
      <c r="F10">
        <v>270.8</v>
      </c>
      <c r="G10">
        <v>250.1</v>
      </c>
      <c r="H10">
        <v>467.6</v>
      </c>
      <c r="I10">
        <v>266.89999999999998</v>
      </c>
      <c r="J10">
        <v>372.2</v>
      </c>
    </row>
    <row r="11" spans="1:10" x14ac:dyDescent="0.25">
      <c r="A11" t="s">
        <v>30</v>
      </c>
      <c r="B11">
        <v>230</v>
      </c>
      <c r="C11">
        <v>230</v>
      </c>
      <c r="D11">
        <v>230</v>
      </c>
      <c r="E11">
        <v>230</v>
      </c>
      <c r="F11">
        <v>230</v>
      </c>
      <c r="G11">
        <v>230</v>
      </c>
      <c r="H11">
        <v>230</v>
      </c>
      <c r="I11">
        <v>230</v>
      </c>
      <c r="J11">
        <v>328.9</v>
      </c>
    </row>
    <row r="12" spans="1:10" x14ac:dyDescent="0.25">
      <c r="A12" t="s">
        <v>31</v>
      </c>
      <c r="B12">
        <v>16.420000000000002</v>
      </c>
      <c r="C12">
        <v>17.59</v>
      </c>
      <c r="D12">
        <v>16.420000000000002</v>
      </c>
      <c r="E12">
        <v>17.68</v>
      </c>
      <c r="F12">
        <v>15.39</v>
      </c>
      <c r="G12">
        <v>15.11</v>
      </c>
      <c r="H12">
        <v>28.25</v>
      </c>
      <c r="I12">
        <v>16.12</v>
      </c>
      <c r="J12">
        <v>22.48</v>
      </c>
    </row>
    <row r="13" spans="1:10" x14ac:dyDescent="0.25">
      <c r="A13" t="s">
        <v>53</v>
      </c>
      <c r="B13">
        <v>545.79999999999995</v>
      </c>
      <c r="C13">
        <v>584.79999999999995</v>
      </c>
      <c r="D13">
        <v>545.79999999999995</v>
      </c>
      <c r="E13">
        <v>597</v>
      </c>
      <c r="F13">
        <v>564.6</v>
      </c>
      <c r="G13">
        <v>502.1</v>
      </c>
      <c r="H13">
        <v>938.8</v>
      </c>
      <c r="I13">
        <v>534.6</v>
      </c>
      <c r="J13">
        <v>745.6</v>
      </c>
    </row>
    <row r="14" spans="1:10" x14ac:dyDescent="0.25">
      <c r="A14" t="s">
        <v>32</v>
      </c>
      <c r="B14">
        <v>42.96</v>
      </c>
      <c r="C14">
        <v>42.96</v>
      </c>
      <c r="D14">
        <v>40.28</v>
      </c>
      <c r="E14">
        <v>36.479999999999997</v>
      </c>
      <c r="F14">
        <v>42.96</v>
      </c>
      <c r="G14">
        <v>42.96</v>
      </c>
      <c r="H14">
        <v>42.96</v>
      </c>
      <c r="I14">
        <v>35.090000000000003</v>
      </c>
      <c r="J14">
        <v>50.17</v>
      </c>
    </row>
    <row r="15" spans="1:10" x14ac:dyDescent="0.25">
      <c r="A15" t="s">
        <v>33</v>
      </c>
      <c r="B15">
        <v>20</v>
      </c>
      <c r="C15">
        <v>20</v>
      </c>
      <c r="D15">
        <v>20</v>
      </c>
      <c r="E15">
        <v>20</v>
      </c>
      <c r="F15">
        <v>20</v>
      </c>
      <c r="G15">
        <v>0</v>
      </c>
      <c r="H15">
        <v>200</v>
      </c>
      <c r="I15">
        <v>20</v>
      </c>
      <c r="J15">
        <v>20</v>
      </c>
    </row>
    <row r="16" spans="1:10" x14ac:dyDescent="0.25">
      <c r="A16" t="s">
        <v>54</v>
      </c>
      <c r="B16">
        <f>B3+B9-B4-B6</f>
        <v>123.19999999999999</v>
      </c>
      <c r="C16">
        <f t="shared" ref="C16:G16" si="0">C3+C9-C4-C6</f>
        <v>130.00000000000011</v>
      </c>
      <c r="D16">
        <f t="shared" si="0"/>
        <v>121.00000000000003</v>
      </c>
      <c r="E16">
        <f t="shared" si="0"/>
        <v>180.10000000000002</v>
      </c>
      <c r="F16">
        <f t="shared" si="0"/>
        <v>127.5</v>
      </c>
      <c r="G16">
        <f t="shared" si="0"/>
        <v>117.10000000000002</v>
      </c>
      <c r="H16">
        <f>H3+H9-H4-H6</f>
        <v>177.70000000000005</v>
      </c>
      <c r="I16">
        <f>I3+I9-I4-I6</f>
        <v>121.69999999999999</v>
      </c>
      <c r="J16">
        <f>J3+J9-J4-J6</f>
        <v>171.49999999999994</v>
      </c>
    </row>
    <row r="17" spans="1:10" x14ac:dyDescent="0.25">
      <c r="A17" t="s">
        <v>72</v>
      </c>
      <c r="B17">
        <f>B6-B7</f>
        <v>26.300000000000011</v>
      </c>
      <c r="C17">
        <f t="shared" ref="C17:G17" si="1">C6-C7</f>
        <v>26.300000000000011</v>
      </c>
      <c r="D17">
        <f t="shared" si="1"/>
        <v>24.599999999999994</v>
      </c>
      <c r="E17">
        <f t="shared" si="1"/>
        <v>30.300000000000011</v>
      </c>
      <c r="F17">
        <f t="shared" si="1"/>
        <v>26.300000000000011</v>
      </c>
      <c r="G17">
        <f t="shared" si="1"/>
        <v>26.300000000000011</v>
      </c>
      <c r="H17">
        <f>H6-H7</f>
        <v>26.300000000000011</v>
      </c>
      <c r="I17">
        <f>I6-I7</f>
        <v>26.300000000000011</v>
      </c>
      <c r="J17">
        <f>J6-J7</f>
        <v>37.599999999999994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0C34D9-3156-4D42-9D3A-CA3AAFB07BAA}">
  <dimension ref="A1:D7"/>
  <sheetViews>
    <sheetView workbookViewId="0">
      <selection activeCell="B4" sqref="B4"/>
    </sheetView>
  </sheetViews>
  <sheetFormatPr baseColWidth="10" defaultRowHeight="15" x14ac:dyDescent="0.25"/>
  <cols>
    <col min="1" max="1" width="26.85546875" customWidth="1"/>
  </cols>
  <sheetData>
    <row r="1" spans="1:4" x14ac:dyDescent="0.25">
      <c r="A1" s="2" t="s">
        <v>19</v>
      </c>
      <c r="B1" s="2" t="s">
        <v>62</v>
      </c>
      <c r="C1" s="2" t="s">
        <v>63</v>
      </c>
      <c r="D1" s="2" t="s">
        <v>64</v>
      </c>
    </row>
    <row r="2" spans="1:4" x14ac:dyDescent="0.25">
      <c r="A2" s="2" t="s">
        <v>15</v>
      </c>
      <c r="B2">
        <v>10</v>
      </c>
      <c r="C2">
        <v>1</v>
      </c>
      <c r="D2" t="s">
        <v>75</v>
      </c>
    </row>
    <row r="3" spans="1:4" x14ac:dyDescent="0.25">
      <c r="A3" s="2" t="s">
        <v>65</v>
      </c>
      <c r="B3">
        <v>10</v>
      </c>
      <c r="C3">
        <v>1</v>
      </c>
      <c r="D3" t="s">
        <v>75</v>
      </c>
    </row>
    <row r="4" spans="1:4" x14ac:dyDescent="0.25">
      <c r="A4" s="2" t="s">
        <v>66</v>
      </c>
      <c r="B4">
        <v>10</v>
      </c>
      <c r="C4">
        <v>4</v>
      </c>
      <c r="D4" t="s">
        <v>67</v>
      </c>
    </row>
    <row r="5" spans="1:4" x14ac:dyDescent="0.25">
      <c r="A5" s="2" t="s">
        <v>68</v>
      </c>
      <c r="B5">
        <v>10</v>
      </c>
      <c r="C5">
        <v>1</v>
      </c>
      <c r="D5" t="s">
        <v>76</v>
      </c>
    </row>
    <row r="6" spans="1:4" x14ac:dyDescent="0.25">
      <c r="A6" s="2" t="s">
        <v>69</v>
      </c>
      <c r="B6">
        <v>10</v>
      </c>
      <c r="C6">
        <v>4</v>
      </c>
      <c r="D6" t="s">
        <v>77</v>
      </c>
    </row>
    <row r="7" spans="1:4" x14ac:dyDescent="0.25">
      <c r="A7" s="2" t="s">
        <v>70</v>
      </c>
      <c r="B7">
        <v>10</v>
      </c>
      <c r="C7">
        <v>3</v>
      </c>
      <c r="D7" t="s">
        <v>75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1AFAEF-8001-4F32-AE2D-810B2147CCCF}">
  <dimension ref="A1:C3"/>
  <sheetViews>
    <sheetView workbookViewId="0">
      <selection activeCell="B3" sqref="B3"/>
    </sheetView>
  </sheetViews>
  <sheetFormatPr baseColWidth="10" defaultRowHeight="15" x14ac:dyDescent="0.25"/>
  <cols>
    <col min="2" max="2" width="15.42578125" customWidth="1"/>
  </cols>
  <sheetData>
    <row r="1" spans="1:3" x14ac:dyDescent="0.25">
      <c r="A1" t="s">
        <v>19</v>
      </c>
      <c r="B1" t="s">
        <v>20</v>
      </c>
      <c r="C1" t="s">
        <v>71</v>
      </c>
    </row>
    <row r="2" spans="1:3" x14ac:dyDescent="0.25">
      <c r="A2" t="s">
        <v>54</v>
      </c>
      <c r="B2" t="s">
        <v>15</v>
      </c>
      <c r="C2">
        <v>0</v>
      </c>
    </row>
    <row r="3" spans="1:3" x14ac:dyDescent="0.25">
      <c r="A3" t="s">
        <v>72</v>
      </c>
      <c r="B3" t="s">
        <v>15</v>
      </c>
      <c r="C3">
        <v>0</v>
      </c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ECD6B69B-F447-403A-BA48-B5E87F2F7570}">
          <x14:formula1>
            <xm:f>Validate!$C$2:$C$8</xm:f>
          </x14:formula1>
          <xm:sqref>B2:B3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5F385F-C817-40BD-A5CF-BFEFDFAA0650}">
  <dimension ref="A1:C3"/>
  <sheetViews>
    <sheetView workbookViewId="0">
      <selection activeCell="B2" sqref="B2"/>
    </sheetView>
  </sheetViews>
  <sheetFormatPr baseColWidth="10" defaultRowHeight="15" x14ac:dyDescent="0.25"/>
  <sheetData>
    <row r="1" spans="1:3" x14ac:dyDescent="0.25">
      <c r="A1" t="s">
        <v>19</v>
      </c>
      <c r="B1" t="s">
        <v>72</v>
      </c>
      <c r="C1" t="s">
        <v>54</v>
      </c>
    </row>
    <row r="2" spans="1:3" x14ac:dyDescent="0.25">
      <c r="A2" t="s">
        <v>37</v>
      </c>
      <c r="B2">
        <v>0</v>
      </c>
      <c r="C2">
        <v>0.57999999999999996</v>
      </c>
    </row>
    <row r="3" spans="1:3" x14ac:dyDescent="0.25">
      <c r="A3" t="s">
        <v>40</v>
      </c>
      <c r="B3">
        <v>1</v>
      </c>
      <c r="C3">
        <v>0.42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39F77A-4BB8-47BE-8329-5157E8DF3B0D}">
  <dimension ref="A1:D10"/>
  <sheetViews>
    <sheetView workbookViewId="0">
      <selection activeCell="C8" sqref="C8"/>
    </sheetView>
  </sheetViews>
  <sheetFormatPr baseColWidth="10" defaultRowHeight="15" x14ac:dyDescent="0.25"/>
  <sheetData>
    <row r="1" spans="1:4" x14ac:dyDescent="0.25">
      <c r="A1" t="s">
        <v>19</v>
      </c>
      <c r="B1" t="s">
        <v>73</v>
      </c>
      <c r="C1" t="s">
        <v>74</v>
      </c>
      <c r="D1" t="s">
        <v>81</v>
      </c>
    </row>
    <row r="2" spans="1:4" x14ac:dyDescent="0.25">
      <c r="A2" t="s">
        <v>53</v>
      </c>
      <c r="B2" t="s">
        <v>7</v>
      </c>
      <c r="C2">
        <v>0.1</v>
      </c>
      <c r="D2">
        <v>0.1</v>
      </c>
    </row>
    <row r="3" spans="1:4" x14ac:dyDescent="0.25">
      <c r="A3" t="str">
        <f>Processes!A2</f>
        <v>BLR</v>
      </c>
      <c r="B3" t="s">
        <v>11</v>
      </c>
      <c r="C3">
        <v>23.06084796908064</v>
      </c>
      <c r="D3">
        <v>33.755111728679623</v>
      </c>
    </row>
    <row r="4" spans="1:4" x14ac:dyDescent="0.25">
      <c r="A4" t="str">
        <f>Processes!A3</f>
        <v>TRB</v>
      </c>
      <c r="B4" t="s">
        <v>11</v>
      </c>
      <c r="C4">
        <v>258.83154722805835</v>
      </c>
      <c r="D4">
        <v>524.80526428468806</v>
      </c>
    </row>
    <row r="5" spans="1:4" x14ac:dyDescent="0.25">
      <c r="A5" t="str">
        <f>Processes!A4</f>
        <v>PMP</v>
      </c>
      <c r="B5" t="s">
        <v>11</v>
      </c>
      <c r="C5">
        <v>2.2688100119799026</v>
      </c>
      <c r="D5">
        <v>2.9118495260250095</v>
      </c>
    </row>
    <row r="6" spans="1:4" x14ac:dyDescent="0.25">
      <c r="A6" t="str">
        <f>Processes!A5</f>
        <v>CMP</v>
      </c>
      <c r="B6" t="s">
        <v>11</v>
      </c>
      <c r="C6">
        <v>237.79584994793265</v>
      </c>
      <c r="D6">
        <v>237.79584994793265</v>
      </c>
    </row>
    <row r="7" spans="1:4" x14ac:dyDescent="0.25">
      <c r="A7" t="str">
        <f>Processes!A6</f>
        <v>EVAP</v>
      </c>
      <c r="B7" t="s">
        <v>11</v>
      </c>
      <c r="C7">
        <v>23.43612094959958</v>
      </c>
      <c r="D7">
        <v>23.43612094959958</v>
      </c>
    </row>
    <row r="8" spans="1:4" x14ac:dyDescent="0.25">
      <c r="A8" t="str">
        <f>Processes!A7</f>
        <v>GEN</v>
      </c>
      <c r="B8" t="s">
        <v>11</v>
      </c>
      <c r="C8">
        <v>17.678671835630151</v>
      </c>
      <c r="D8">
        <v>69.225790334016224</v>
      </c>
    </row>
    <row r="9" spans="1:4" x14ac:dyDescent="0.25">
      <c r="A9" t="str">
        <f>Processes!A8</f>
        <v>VEXP</v>
      </c>
      <c r="B9" t="s">
        <v>11</v>
      </c>
      <c r="C9">
        <v>0.27387680640984668</v>
      </c>
      <c r="D9">
        <v>0.27387680640984668</v>
      </c>
    </row>
    <row r="10" spans="1:4" x14ac:dyDescent="0.25">
      <c r="A10" t="str">
        <f>Processes!A9</f>
        <v>CND</v>
      </c>
      <c r="B10" t="s">
        <v>11</v>
      </c>
      <c r="C10">
        <v>39.7932767389091</v>
      </c>
      <c r="D10">
        <v>51.001661989752904</v>
      </c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176DE76D-E711-4C52-A9A1-6A7085C1A286}">
          <x14:formula1>
            <xm:f>Validate!$D$2:$D$3</xm:f>
          </x14:formula1>
          <xm:sqref>B2:B10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9</vt:i4>
      </vt:variant>
      <vt:variant>
        <vt:lpstr>Rangos con nombre</vt:lpstr>
      </vt:variant>
      <vt:variant>
        <vt:i4>1</vt:i4>
      </vt:variant>
    </vt:vector>
  </HeadingPairs>
  <TitlesOfParts>
    <vt:vector size="10" baseType="lpstr">
      <vt:lpstr>Physical Diagram</vt:lpstr>
      <vt:lpstr>Validate</vt:lpstr>
      <vt:lpstr>Flows</vt:lpstr>
      <vt:lpstr>Processes</vt:lpstr>
      <vt:lpstr>Exergy</vt:lpstr>
      <vt:lpstr>Format</vt:lpstr>
      <vt:lpstr>WasteDefinition</vt:lpstr>
      <vt:lpstr>WasteAllocation</vt:lpstr>
      <vt:lpstr>ResourcesCost</vt:lpstr>
      <vt:lpstr>Format!tgas_fmt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César Torres Cuadra</dc:creator>
  <cp:lastModifiedBy>César Torres Cuadra</cp:lastModifiedBy>
  <dcterms:created xsi:type="dcterms:W3CDTF">2022-12-13T08:34:32Z</dcterms:created>
  <dcterms:modified xsi:type="dcterms:W3CDTF">2026-05-25T10:08:16Z</dcterms:modified>
</cp:coreProperties>
</file>