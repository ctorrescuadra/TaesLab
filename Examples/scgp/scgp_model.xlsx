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scgp\"/>
    </mc:Choice>
  </mc:AlternateContent>
  <xr:revisionPtr revIDLastSave="0" documentId="13_ncr:1_{1E297E9D-3C13-4285-8F87-200B5AC9DB51}" xr6:coauthVersionLast="47" xr6:coauthVersionMax="47" xr10:uidLastSave="{00000000-0000-0000-0000-000000000000}"/>
  <bookViews>
    <workbookView xWindow="8490" yWindow="780" windowWidth="14520" windowHeight="14700" firstSheet="3" activeTab="6" xr2:uid="{00000000-000D-0000-FFFF-FFFF00000000}"/>
  </bookViews>
  <sheets>
    <sheet name="PhysicalDiagram" sheetId="5" r:id="rId1"/>
    <sheet name="Validate" sheetId="9" r:id="rId2"/>
    <sheet name="Flows" sheetId="1" r:id="rId3"/>
    <sheet name="Processes" sheetId="2" r:id="rId4"/>
    <sheet name="Exergy" sheetId="20" r:id="rId5"/>
    <sheet name="Format" sheetId="6" r:id="rId6"/>
    <sheet name="WasteDefinition" sheetId="8" r:id="rId7"/>
    <sheet name="Exergy_Boiler" sheetId="11" r:id="rId8"/>
    <sheet name="Exergy_HRSG" sheetId="12" r:id="rId9"/>
    <sheet name="ExergyB_Table" sheetId="18" r:id="rId10"/>
    <sheet name="ExergyH_Table" sheetId="13" r:id="rId11"/>
    <sheet name="Hoja1" sheetId="21" r:id="rId12"/>
  </sheets>
  <definedNames>
    <definedName name="cgam_flows" localSheetId="2">Flows!$A$1:$B$5</definedName>
    <definedName name="cgam_processes" localSheetId="3">Processes!$A$1:$F$5</definedName>
    <definedName name="cgam_sample" localSheetId="7">Exergy_Boiler!$A$1:$C$7</definedName>
    <definedName name="tgas_fmt" localSheetId="5">Format!$A$1:$D$7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1" l="1"/>
  <c r="C18" i="20"/>
  <c r="D18" i="20"/>
  <c r="E18" i="20"/>
  <c r="F18" i="20"/>
  <c r="G18" i="20"/>
  <c r="H18" i="20"/>
  <c r="I18" i="20"/>
  <c r="J18" i="20"/>
  <c r="B18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gam_flows" type="6" refreshedVersion="6" deleted="1" background="1" saveData="1">
    <textPr codePage="850" sourceFile="C:\Users\es17155931r\Personal\Termoeconomia\ExIOLab\Ejemplos\cgam\cgam_flows.csv" comma="1">
      <textFields count="2">
        <textField/>
        <textField/>
      </textFields>
    </textPr>
  </connection>
  <connection id="2" xr16:uid="{00000000-0015-0000-FFFF-FFFF01000000}" name="cgam_processes" type="6" refreshedVersion="6" deleted="1" background="1" saveData="1">
    <textPr codePage="850" sourceFile="C:\Users\es17155931r\Personal\Termoeconomia\ExIOLab\Ejemplos\cgam\cgam_processes.csv" comma="1">
      <textFields count="5">
        <textField/>
        <textField/>
        <textField/>
        <textField/>
        <textField/>
      </textFields>
    </textPr>
  </connection>
  <connection id="3" xr16:uid="{47794650-5E7F-4AC8-BBCD-EA92A1F6ABDE}" name="cgam_sample" type="6" refreshedVersion="6" deleted="1" background="1" saveData="1">
    <textPr codePage="850" sourceFile="C:\Users\es17155931r\Personal\Termoeconomia\ExIOLab\Ejemplos\cgam\cgam_sample.csv" comma="1">
      <textFields count="3">
        <textField/>
        <textField/>
        <textField/>
      </textFields>
    </textPr>
  </connection>
  <connection id="4" xr16:uid="{00000000-0015-0000-FFFF-FFFF04000000}" name="tgas_fmt" type="6" refreshedVersion="6" deleted="1" background="1" saveData="1">
    <textPr codePage="850" sourceFile="C:\Users\es17155931r\Personal\Termoeconomia\ExIOLab2\Ejemplos\tgas\tgas_fmt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<sst xmlns="http://schemas.openxmlformats.org/spreadsheetml/2006/main" count="217" uniqueCount="104">
  <si>
    <t>key</t>
  </si>
  <si>
    <t>type</t>
  </si>
  <si>
    <t>RESOURCE</t>
  </si>
  <si>
    <t>INTERNAL</t>
  </si>
  <si>
    <t>OUTPUT</t>
  </si>
  <si>
    <t>fuel</t>
  </si>
  <si>
    <t>product</t>
  </si>
  <si>
    <t>PRODUCTIVE</t>
  </si>
  <si>
    <t>DISSIPATIVE</t>
  </si>
  <si>
    <t>width</t>
  </si>
  <si>
    <t>precision</t>
  </si>
  <si>
    <t>unit</t>
  </si>
  <si>
    <t>EXERGY</t>
  </si>
  <si>
    <t>EXERGY_COST</t>
  </si>
  <si>
    <t>EXERGY_UNIT_COST</t>
  </si>
  <si>
    <t>GENERALIZED_COST</t>
  </si>
  <si>
    <t>GENERALIZED_UNIT_COST</t>
  </si>
  <si>
    <t>DIAGNOSIS</t>
  </si>
  <si>
    <t>IRREVERSIBILITY</t>
  </si>
  <si>
    <t>Flows</t>
  </si>
  <si>
    <t>Processes</t>
  </si>
  <si>
    <t>Wastes</t>
  </si>
  <si>
    <t>DEFAULT</t>
  </si>
  <si>
    <t>MANUAL</t>
  </si>
  <si>
    <t>COST</t>
  </si>
  <si>
    <t>recycle</t>
  </si>
  <si>
    <t>WASTE</t>
  </si>
  <si>
    <t>Resources</t>
  </si>
  <si>
    <t>FLOW</t>
  </si>
  <si>
    <t>PROCESS</t>
  </si>
  <si>
    <t>RESOURCES</t>
  </si>
  <si>
    <t>HYBRID</t>
  </si>
  <si>
    <t>WN</t>
  </si>
  <si>
    <t>(kW)</t>
  </si>
  <si>
    <t>(J/J)</t>
  </si>
  <si>
    <t>(c/h)</t>
  </si>
  <si>
    <t>(c/kWh)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</si>
  <si>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</si>
  <si>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</si>
  <si>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</si>
  <si>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</si>
  <si>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</si>
  <si>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</si>
  <si>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</si>
  <si>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</si>
  <si>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</si>
  <si>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QH</t>
  </si>
  <si>
    <t>WPC</t>
  </si>
  <si>
    <t>WPA</t>
  </si>
  <si>
    <t>QEVP</t>
  </si>
  <si>
    <t>QCND</t>
  </si>
  <si>
    <t>HRSG</t>
  </si>
  <si>
    <t>TRB1</t>
  </si>
  <si>
    <t>TRB2</t>
  </si>
  <si>
    <t>EVP</t>
  </si>
  <si>
    <t>DSG</t>
  </si>
  <si>
    <t>PMPC</t>
  </si>
  <si>
    <t>PMPA</t>
  </si>
  <si>
    <t>GEN</t>
  </si>
  <si>
    <t>CND</t>
  </si>
  <si>
    <t>B4-B5</t>
  </si>
  <si>
    <t>WT1+WT2</t>
  </si>
  <si>
    <t>WPC+WPA+WN</t>
  </si>
  <si>
    <t>WT1</t>
  </si>
  <si>
    <t>WT2</t>
  </si>
  <si>
    <t>B1-B9</t>
  </si>
  <si>
    <t>B1-B2-B3</t>
  </si>
  <si>
    <t>B3-B4</t>
  </si>
  <si>
    <t>B2-B7</t>
  </si>
  <si>
    <t>B6-B5</t>
  </si>
  <si>
    <t>B9-B8</t>
  </si>
  <si>
    <t>B8-B6</t>
  </si>
  <si>
    <t>REF</t>
  </si>
  <si>
    <t>ETA82</t>
  </si>
  <si>
    <t>ETB82</t>
  </si>
  <si>
    <t>ET82</t>
  </si>
  <si>
    <t>TPV6</t>
  </si>
  <si>
    <t>PCND8</t>
  </si>
  <si>
    <t>PEXT5</t>
  </si>
  <si>
    <t>MCG5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</si>
  <si>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</si>
  <si>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</si>
  <si>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</si>
  <si>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</si>
  <si>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</si>
  <si>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</si>
  <si>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</si>
  <si>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</si>
  <si>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</si>
  <si>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</si>
  <si>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</si>
  <si>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NoCOG</t>
  </si>
  <si>
    <t>noCG</t>
  </si>
  <si>
    <t>TP60</t>
  </si>
  <si>
    <t>PCG5</t>
  </si>
  <si>
    <t>MCG8</t>
  </si>
  <si>
    <t>M09</t>
  </si>
  <si>
    <t>M08</t>
  </si>
  <si>
    <t>M07</t>
  </si>
  <si>
    <t>M06</t>
  </si>
  <si>
    <t>M05</t>
  </si>
  <si>
    <t>M04</t>
  </si>
  <si>
    <t>M03</t>
  </si>
  <si>
    <t>M02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</si>
</sst>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1</xdr:row>
      <xdr:rowOff>95250</xdr:rowOff>
    </xdr:from>
    <xdr:to>
      <xdr:col>7</xdr:col>
      <xdr:colOff>742950</xdr:colOff>
      <xdr:row>23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29E9FB2-29B2-87F6-35C8-0851FA2ED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" y="285750"/>
          <a:ext cx="5810250" cy="414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flows" connectionId="1" xr16:uid="{00000000-0016-0000-02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processes" connectionId="2" xr16:uid="{00000000-0016-0000-0300-000001000000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gas_fmt" connectionId="4" xr16:uid="{00000000-0016-0000-0500-000003000000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sample" connectionId="3" xr16:uid="{FAA28D46-19C1-4D51-BB67-F2D69CE79C09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C00000"/>
  </sheetPr>
  <dimension ref="A1"/>
  <sheetViews>
    <sheetView showGridLines="0" workbookViewId="0">
      <selection activeCell="J15" sqref="J15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C00000"/>
  </sheetPr>
  <dimension ref="A1:D8"/>
  <sheetViews>
    <sheetView workbookViewId="0">
      <selection activeCell="C2" sqref="C2"/>
    </sheetView>
  </sheetViews>
  <sheetFormatPr baseColWidth="10" defaultRowHeight="15" x14ac:dyDescent="0.25"/>
  <cols>
    <col min="3" max="3" width="15.85546875" customWidth="1"/>
  </cols>
  <sheetData>
    <row r="1" spans="1:4" x14ac:dyDescent="0.25">
      <c r="A1" s="2" t="s">
        <v>19</v>
      </c>
      <c r="B1" s="2" t="s">
        <v>20</v>
      </c>
      <c r="C1" s="2" t="s">
        <v>21</v>
      </c>
      <c r="D1" s="2" t="s">
        <v>27</v>
      </c>
    </row>
    <row r="2" spans="1:4" x14ac:dyDescent="0.25">
      <c r="A2" t="s">
        <v>2</v>
      </c>
      <c r="B2" t="s">
        <v>7</v>
      </c>
      <c r="C2" t="s">
        <v>22</v>
      </c>
      <c r="D2" t="s">
        <v>28</v>
      </c>
    </row>
    <row r="3" spans="1:4" x14ac:dyDescent="0.25">
      <c r="A3" t="s">
        <v>3</v>
      </c>
      <c r="B3" t="s">
        <v>8</v>
      </c>
      <c r="C3" t="s">
        <v>23</v>
      </c>
      <c r="D3" t="s">
        <v>29</v>
      </c>
    </row>
    <row r="4" spans="1:4" x14ac:dyDescent="0.25">
      <c r="A4" t="s">
        <v>4</v>
      </c>
      <c r="C4" t="s">
        <v>30</v>
      </c>
    </row>
    <row r="5" spans="1:4" x14ac:dyDescent="0.25">
      <c r="A5" t="s">
        <v>26</v>
      </c>
      <c r="C5" t="s">
        <v>12</v>
      </c>
    </row>
    <row r="6" spans="1:4" x14ac:dyDescent="0.25">
      <c r="C6" t="s">
        <v>24</v>
      </c>
    </row>
    <row r="7" spans="1:4" x14ac:dyDescent="0.25">
      <c r="C7" t="s">
        <v>18</v>
      </c>
    </row>
    <row r="8" spans="1:4" x14ac:dyDescent="0.25">
      <c r="C8" t="s">
        <v>31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18"/>
  <sheetViews>
    <sheetView workbookViewId="0">
      <selection activeCell="A14" sqref="A14"/>
    </sheetView>
  </sheetViews>
  <sheetFormatPr baseColWidth="10" defaultRowHeight="15" x14ac:dyDescent="0.25"/>
  <cols>
    <col min="1" max="1" width="9.5703125" customWidth="1"/>
    <col min="2" max="2" width="1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37</v>
      </c>
      <c r="B2" t="s">
        <v>3</v>
      </c>
    </row>
    <row r="3" spans="1:2" x14ac:dyDescent="0.25">
      <c r="A3" t="s">
        <v>38</v>
      </c>
      <c r="B3" t="s">
        <v>3</v>
      </c>
    </row>
    <row r="4" spans="1:2" x14ac:dyDescent="0.25">
      <c r="A4" t="s">
        <v>39</v>
      </c>
      <c r="B4" t="s">
        <v>3</v>
      </c>
    </row>
    <row r="5" spans="1:2" x14ac:dyDescent="0.25">
      <c r="A5" t="s">
        <v>40</v>
      </c>
      <c r="B5" t="s">
        <v>3</v>
      </c>
    </row>
    <row r="6" spans="1:2" x14ac:dyDescent="0.25">
      <c r="A6" t="s">
        <v>41</v>
      </c>
      <c r="B6" t="s">
        <v>3</v>
      </c>
    </row>
    <row r="7" spans="1:2" x14ac:dyDescent="0.25">
      <c r="A7" t="s">
        <v>42</v>
      </c>
      <c r="B7" t="s">
        <v>3</v>
      </c>
    </row>
    <row r="8" spans="1:2" x14ac:dyDescent="0.25">
      <c r="A8" t="s">
        <v>43</v>
      </c>
      <c r="B8" t="s">
        <v>3</v>
      </c>
    </row>
    <row r="9" spans="1:2" x14ac:dyDescent="0.25">
      <c r="A9" t="s">
        <v>44</v>
      </c>
      <c r="B9" t="s">
        <v>3</v>
      </c>
    </row>
    <row r="10" spans="1:2" x14ac:dyDescent="0.25">
      <c r="A10" t="s">
        <v>45</v>
      </c>
      <c r="B10" t="s">
        <v>3</v>
      </c>
    </row>
    <row r="11" spans="1:2" x14ac:dyDescent="0.25">
      <c r="A11" t="s">
        <v>46</v>
      </c>
      <c r="B11" t="s">
        <v>2</v>
      </c>
    </row>
    <row r="12" spans="1:2" x14ac:dyDescent="0.25">
      <c r="A12" t="s">
        <v>63</v>
      </c>
      <c r="B12" t="s">
        <v>3</v>
      </c>
    </row>
    <row r="13" spans="1:2" x14ac:dyDescent="0.25">
      <c r="A13" t="s">
        <v>64</v>
      </c>
      <c r="B13" t="s">
        <v>3</v>
      </c>
    </row>
    <row r="14" spans="1:2" x14ac:dyDescent="0.25">
      <c r="A14" t="s">
        <v>47</v>
      </c>
      <c r="B14" t="s">
        <v>3</v>
      </c>
    </row>
    <row r="15" spans="1:2" x14ac:dyDescent="0.25">
      <c r="A15" t="s">
        <v>48</v>
      </c>
      <c r="B15" t="s">
        <v>3</v>
      </c>
    </row>
    <row r="16" spans="1:2" x14ac:dyDescent="0.25">
      <c r="A16" t="s">
        <v>32</v>
      </c>
      <c r="B16" t="s">
        <v>4</v>
      </c>
    </row>
    <row r="17" spans="1:2" x14ac:dyDescent="0.25">
      <c r="A17" t="s">
        <v>49</v>
      </c>
      <c r="B17" t="s">
        <v>4</v>
      </c>
    </row>
    <row r="18" spans="1:2" x14ac:dyDescent="0.25">
      <c r="A18" t="s">
        <v>50</v>
      </c>
      <c r="B18" t="s">
        <v>26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9C10E6-2740-4CBC-A76B-AF824CB5528D}">
          <x14:formula1>
            <xm:f>Validate!$A$2:$A$5</xm:f>
          </x14:formula1>
          <xm:sqref>B2:B18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0"/>
  <sheetViews>
    <sheetView workbookViewId="0">
      <selection activeCell="B1" sqref="B1:B10"/>
    </sheetView>
  </sheetViews>
  <sheetFormatPr baseColWidth="10" defaultRowHeight="15" x14ac:dyDescent="0.25"/>
  <cols>
    <col min="1" max="1" width="7.7109375" customWidth="1"/>
    <col min="2" max="2" width="16.5703125" customWidth="1"/>
    <col min="3" max="3" width="14.5703125" customWidth="1"/>
    <col min="4" max="4" width="15.85546875" customWidth="1"/>
    <col min="5" max="5" width="14" customWidth="1"/>
    <col min="6" max="6" width="13.5703125" customWidth="1"/>
    <col min="7" max="7" width="10" customWidth="1"/>
  </cols>
  <sheetData>
    <row r="1" spans="1:4" x14ac:dyDescent="0.25">
      <c r="A1" s="2" t="s">
        <v>0</v>
      </c>
      <c r="B1" s="2" t="s">
        <v>1</v>
      </c>
      <c r="C1" s="2" t="s">
        <v>5</v>
      </c>
      <c r="D1" s="2" t="s">
        <v>6</v>
      </c>
    </row>
    <row r="2" spans="1:4" x14ac:dyDescent="0.25">
      <c r="A2" t="s">
        <v>51</v>
      </c>
      <c r="B2" t="s">
        <v>7</v>
      </c>
      <c r="C2" t="s">
        <v>46</v>
      </c>
      <c r="D2" t="s">
        <v>65</v>
      </c>
    </row>
    <row r="3" spans="1:4" x14ac:dyDescent="0.25">
      <c r="A3" t="s">
        <v>52</v>
      </c>
      <c r="B3" t="s">
        <v>7</v>
      </c>
      <c r="C3" t="s">
        <v>66</v>
      </c>
      <c r="D3" t="s">
        <v>63</v>
      </c>
    </row>
    <row r="4" spans="1:4" x14ac:dyDescent="0.25">
      <c r="A4" t="s">
        <v>53</v>
      </c>
      <c r="B4" t="s">
        <v>7</v>
      </c>
      <c r="C4" t="s">
        <v>67</v>
      </c>
      <c r="D4" t="s">
        <v>64</v>
      </c>
    </row>
    <row r="5" spans="1:4" x14ac:dyDescent="0.25">
      <c r="A5" t="s">
        <v>54</v>
      </c>
      <c r="B5" t="s">
        <v>7</v>
      </c>
      <c r="C5" t="s">
        <v>68</v>
      </c>
      <c r="D5" t="s">
        <v>49</v>
      </c>
    </row>
    <row r="6" spans="1:4" x14ac:dyDescent="0.25">
      <c r="A6" t="s">
        <v>55</v>
      </c>
      <c r="B6" t="s">
        <v>7</v>
      </c>
      <c r="C6" t="s">
        <v>43</v>
      </c>
      <c r="D6" t="s">
        <v>71</v>
      </c>
    </row>
    <row r="7" spans="1:4" x14ac:dyDescent="0.25">
      <c r="A7" t="s">
        <v>56</v>
      </c>
      <c r="B7" t="s">
        <v>7</v>
      </c>
      <c r="C7" t="s">
        <v>47</v>
      </c>
      <c r="D7" t="s">
        <v>69</v>
      </c>
    </row>
    <row r="8" spans="1:4" x14ac:dyDescent="0.25">
      <c r="A8" t="s">
        <v>57</v>
      </c>
      <c r="B8" t="s">
        <v>7</v>
      </c>
      <c r="C8" t="s">
        <v>48</v>
      </c>
      <c r="D8" t="s">
        <v>70</v>
      </c>
    </row>
    <row r="9" spans="1:4" x14ac:dyDescent="0.25">
      <c r="A9" t="s">
        <v>58</v>
      </c>
      <c r="B9" t="s">
        <v>7</v>
      </c>
      <c r="C9" t="s">
        <v>61</v>
      </c>
      <c r="D9" t="s">
        <v>62</v>
      </c>
    </row>
    <row r="10" spans="1:4" x14ac:dyDescent="0.25">
      <c r="A10" t="s">
        <v>59</v>
      </c>
      <c r="B10" t="s">
        <v>8</v>
      </c>
      <c r="C10" t="s">
        <v>60</v>
      </c>
      <c r="D10" t="s">
        <v>50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93D71-F984-42A1-BD40-BC0408ED5F68}">
          <x14:formula1>
            <xm:f>Validate!$B$2:$B$3</xm:f>
          </x14:formula1>
          <xm:sqref>B2:B10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56CB-913F-47C0-A56C-44196B879F24}">
  <dimension ref="A1:J18"/>
  <sheetViews>
    <sheetView workbookViewId="0">
      <selection activeCell="B18" sqref="B18:J18"/>
    </sheetView>
  </sheetViews>
  <sheetFormatPr baseColWidth="10" defaultRowHeight="15" x14ac:dyDescent="0.25"/>
  <sheetData>
    <row r="1" spans="1:10" x14ac:dyDescent="0.25">
      <c r="A1" t="s">
        <v>0</v>
      </c>
      <c r="B1" t="s">
        <v>90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</row>
    <row r="2" spans="1:10" x14ac:dyDescent="0.25">
      <c r="A2" t="str">
        <f>Flows!A2</f>
        <v>B1</v>
      </c>
      <c r="B2">
        <v>23306</v>
      </c>
      <c r="C2">
        <v>22249</v>
      </c>
      <c r="D2">
        <v>21192</v>
      </c>
      <c r="E2">
        <v>20136</v>
      </c>
      <c r="F2">
        <v>19079</v>
      </c>
      <c r="G2">
        <v>18022</v>
      </c>
      <c r="H2">
        <v>16966</v>
      </c>
      <c r="I2">
        <v>15909</v>
      </c>
      <c r="J2">
        <v>14853</v>
      </c>
    </row>
    <row r="3" spans="1:10" x14ac:dyDescent="0.25">
      <c r="A3" t="str">
        <f>Flows!A3</f>
        <v>B2</v>
      </c>
      <c r="B3">
        <v>11265</v>
      </c>
      <c r="C3">
        <v>10139</v>
      </c>
      <c r="D3">
        <v>9012</v>
      </c>
      <c r="E3">
        <v>7886</v>
      </c>
      <c r="F3">
        <v>6759</v>
      </c>
      <c r="G3">
        <v>5633</v>
      </c>
      <c r="H3">
        <v>4506</v>
      </c>
      <c r="I3">
        <v>3380</v>
      </c>
      <c r="J3">
        <v>2253</v>
      </c>
    </row>
    <row r="4" spans="1:10" x14ac:dyDescent="0.25">
      <c r="A4" t="str">
        <f>Flows!A4</f>
        <v>B3</v>
      </c>
      <c r="B4">
        <v>3036</v>
      </c>
      <c r="C4">
        <v>3514</v>
      </c>
      <c r="D4">
        <v>3992</v>
      </c>
      <c r="E4">
        <v>4470</v>
      </c>
      <c r="F4">
        <v>4948</v>
      </c>
      <c r="G4">
        <v>5426</v>
      </c>
      <c r="H4">
        <v>5904</v>
      </c>
      <c r="I4">
        <v>6382</v>
      </c>
      <c r="J4">
        <v>6861</v>
      </c>
    </row>
    <row r="5" spans="1:10" x14ac:dyDescent="0.25">
      <c r="A5" t="str">
        <f>Flows!A5</f>
        <v>B4</v>
      </c>
      <c r="B5">
        <v>373.9</v>
      </c>
      <c r="C5">
        <v>432.8</v>
      </c>
      <c r="D5">
        <v>491.7</v>
      </c>
      <c r="E5">
        <v>550.5</v>
      </c>
      <c r="F5">
        <v>609.4</v>
      </c>
      <c r="G5">
        <v>668.3</v>
      </c>
      <c r="H5">
        <v>727.2</v>
      </c>
      <c r="I5">
        <v>786.1</v>
      </c>
      <c r="J5">
        <v>845</v>
      </c>
    </row>
    <row r="6" spans="1:10" x14ac:dyDescent="0.25">
      <c r="A6" t="str">
        <f>Flows!A6</f>
        <v>B5</v>
      </c>
      <c r="B6">
        <v>5.8330000000000002</v>
      </c>
      <c r="C6">
        <v>6.7510000000000003</v>
      </c>
      <c r="D6">
        <v>7.67</v>
      </c>
      <c r="E6">
        <v>8.5879999999999992</v>
      </c>
      <c r="F6">
        <v>9.5069999999999997</v>
      </c>
      <c r="G6">
        <v>10.43</v>
      </c>
      <c r="H6">
        <v>11.34</v>
      </c>
      <c r="I6">
        <v>12.26</v>
      </c>
      <c r="J6">
        <v>13.18</v>
      </c>
    </row>
    <row r="7" spans="1:10" x14ac:dyDescent="0.25">
      <c r="A7" t="str">
        <f>Flows!A7</f>
        <v>B6</v>
      </c>
      <c r="B7">
        <v>9.2929999999999993</v>
      </c>
      <c r="C7">
        <v>10.76</v>
      </c>
      <c r="D7">
        <v>12.22</v>
      </c>
      <c r="E7">
        <v>13.68</v>
      </c>
      <c r="F7">
        <v>15.15</v>
      </c>
      <c r="G7">
        <v>16.61</v>
      </c>
      <c r="H7">
        <v>18.07</v>
      </c>
      <c r="I7">
        <v>19.54</v>
      </c>
      <c r="J7">
        <v>21</v>
      </c>
    </row>
    <row r="8" spans="1:10" x14ac:dyDescent="0.25">
      <c r="A8" t="str">
        <f>Flows!A8</f>
        <v>B7</v>
      </c>
      <c r="B8">
        <v>1763</v>
      </c>
      <c r="C8">
        <v>1587</v>
      </c>
      <c r="D8">
        <v>1411</v>
      </c>
      <c r="E8">
        <v>1234</v>
      </c>
      <c r="F8">
        <v>1058</v>
      </c>
      <c r="G8">
        <v>881.7</v>
      </c>
      <c r="H8">
        <v>705.4</v>
      </c>
      <c r="I8">
        <v>529</v>
      </c>
      <c r="J8">
        <v>352.7</v>
      </c>
    </row>
    <row r="9" spans="1:10" x14ac:dyDescent="0.25">
      <c r="A9" t="str">
        <f>Flows!A9</f>
        <v>B8</v>
      </c>
      <c r="B9">
        <v>1547</v>
      </c>
      <c r="C9">
        <v>1349</v>
      </c>
      <c r="D9">
        <v>1156</v>
      </c>
      <c r="E9">
        <v>968.7</v>
      </c>
      <c r="F9">
        <v>788.9</v>
      </c>
      <c r="G9">
        <v>618.29999999999995</v>
      </c>
      <c r="H9">
        <v>459.1</v>
      </c>
      <c r="I9">
        <v>314.39999999999998</v>
      </c>
      <c r="J9">
        <v>188.8</v>
      </c>
    </row>
    <row r="10" spans="1:10" x14ac:dyDescent="0.25">
      <c r="A10" t="str">
        <f>Flows!A10</f>
        <v>B9</v>
      </c>
      <c r="B10">
        <v>1714</v>
      </c>
      <c r="C10">
        <v>1507</v>
      </c>
      <c r="D10">
        <v>1305</v>
      </c>
      <c r="E10">
        <v>1109</v>
      </c>
      <c r="F10">
        <v>920.4</v>
      </c>
      <c r="G10">
        <v>741.1</v>
      </c>
      <c r="H10">
        <v>573.29999999999995</v>
      </c>
      <c r="I10">
        <v>420.1</v>
      </c>
      <c r="J10">
        <v>286</v>
      </c>
    </row>
    <row r="11" spans="1:10" x14ac:dyDescent="0.25">
      <c r="A11" t="str">
        <f>Flows!A11</f>
        <v>QH</v>
      </c>
      <c r="B11">
        <v>51871</v>
      </c>
      <c r="C11">
        <v>50018</v>
      </c>
      <c r="D11">
        <v>48166</v>
      </c>
      <c r="E11">
        <v>46314</v>
      </c>
      <c r="F11">
        <v>44462</v>
      </c>
      <c r="G11">
        <v>42610</v>
      </c>
      <c r="H11">
        <v>40758</v>
      </c>
      <c r="I11">
        <v>38907</v>
      </c>
      <c r="J11">
        <v>37056</v>
      </c>
    </row>
    <row r="12" spans="1:10" x14ac:dyDescent="0.25">
      <c r="A12" t="str">
        <f>Flows!A12</f>
        <v>WT1</v>
      </c>
      <c r="B12">
        <v>8118</v>
      </c>
      <c r="C12">
        <v>7749</v>
      </c>
      <c r="D12">
        <v>7381</v>
      </c>
      <c r="E12">
        <v>7013</v>
      </c>
      <c r="F12">
        <v>6645</v>
      </c>
      <c r="G12">
        <v>6277</v>
      </c>
      <c r="H12">
        <v>5909</v>
      </c>
      <c r="I12">
        <v>5541</v>
      </c>
      <c r="J12">
        <v>5173</v>
      </c>
    </row>
    <row r="13" spans="1:10" x14ac:dyDescent="0.25">
      <c r="A13" t="str">
        <f>Flows!A13</f>
        <v>WT2</v>
      </c>
      <c r="B13">
        <v>2280</v>
      </c>
      <c r="C13">
        <v>2639</v>
      </c>
      <c r="D13">
        <v>2998</v>
      </c>
      <c r="E13">
        <v>3358</v>
      </c>
      <c r="F13">
        <v>3717</v>
      </c>
      <c r="G13">
        <v>4076</v>
      </c>
      <c r="H13">
        <v>4435</v>
      </c>
      <c r="I13">
        <v>4794</v>
      </c>
      <c r="J13">
        <v>5154</v>
      </c>
    </row>
    <row r="14" spans="1:10" x14ac:dyDescent="0.25">
      <c r="A14" t="str">
        <f>Flows!A14</f>
        <v>WPC</v>
      </c>
      <c r="B14">
        <v>4.0330000000000004</v>
      </c>
      <c r="C14">
        <v>4.6680000000000001</v>
      </c>
      <c r="D14">
        <v>5.3029999999999999</v>
      </c>
      <c r="E14">
        <v>5.9379999999999997</v>
      </c>
      <c r="F14">
        <v>6.5739999999999998</v>
      </c>
      <c r="G14">
        <v>7.2089999999999996</v>
      </c>
      <c r="H14">
        <v>7.8440000000000003</v>
      </c>
      <c r="I14">
        <v>8.48</v>
      </c>
      <c r="J14">
        <v>9.1150000000000002</v>
      </c>
    </row>
    <row r="15" spans="1:10" x14ac:dyDescent="0.25">
      <c r="A15" t="str">
        <f>Flows!A15</f>
        <v>WPA</v>
      </c>
      <c r="B15">
        <v>186</v>
      </c>
      <c r="C15">
        <v>176.4</v>
      </c>
      <c r="D15">
        <v>166.9</v>
      </c>
      <c r="E15">
        <v>157.4</v>
      </c>
      <c r="F15">
        <v>148</v>
      </c>
      <c r="G15">
        <v>138.69999999999999</v>
      </c>
      <c r="H15">
        <v>129.5</v>
      </c>
      <c r="I15">
        <v>120.3</v>
      </c>
      <c r="J15">
        <v>111.3</v>
      </c>
    </row>
    <row r="16" spans="1:10" x14ac:dyDescent="0.25">
      <c r="A16" t="str">
        <f>Flows!A16</f>
        <v>WN</v>
      </c>
      <c r="B16">
        <v>10000</v>
      </c>
      <c r="C16">
        <v>10000</v>
      </c>
      <c r="D16">
        <v>10000</v>
      </c>
      <c r="E16">
        <v>10000</v>
      </c>
      <c r="F16">
        <v>10000</v>
      </c>
      <c r="G16">
        <v>10000</v>
      </c>
      <c r="H16">
        <v>10000</v>
      </c>
      <c r="I16">
        <v>10000</v>
      </c>
      <c r="J16">
        <v>10000</v>
      </c>
    </row>
    <row r="17" spans="1:10" x14ac:dyDescent="0.25">
      <c r="A17" t="str">
        <f>Flows!A17</f>
        <v>QEVP</v>
      </c>
      <c r="B17">
        <v>8177</v>
      </c>
      <c r="C17">
        <v>7359</v>
      </c>
      <c r="D17">
        <v>6541</v>
      </c>
      <c r="E17">
        <v>5724</v>
      </c>
      <c r="F17">
        <v>4906</v>
      </c>
      <c r="G17">
        <v>4088</v>
      </c>
      <c r="H17">
        <v>3271</v>
      </c>
      <c r="I17">
        <v>2453</v>
      </c>
      <c r="J17">
        <v>1635</v>
      </c>
    </row>
    <row r="18" spans="1:10" x14ac:dyDescent="0.25">
      <c r="A18" t="str">
        <f>Flows!A18</f>
        <v>QCND</v>
      </c>
      <c r="B18">
        <f>B5-B6</f>
        <v>368.06699999999995</v>
      </c>
      <c r="C18">
        <f t="shared" ref="C18:J18" si="0">C5-C6</f>
        <v>426.04900000000004</v>
      </c>
      <c r="D18">
        <f t="shared" si="0"/>
        <v>484.03</v>
      </c>
      <c r="E18">
        <f t="shared" si="0"/>
        <v>541.91200000000003</v>
      </c>
      <c r="F18">
        <f t="shared" si="0"/>
        <v>599.89300000000003</v>
      </c>
      <c r="G18">
        <f t="shared" si="0"/>
        <v>657.87</v>
      </c>
      <c r="H18">
        <f t="shared" si="0"/>
        <v>715.86</v>
      </c>
      <c r="I18">
        <f t="shared" si="0"/>
        <v>773.84</v>
      </c>
      <c r="J18">
        <f t="shared" si="0"/>
        <v>831.82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D7"/>
  <sheetViews>
    <sheetView workbookViewId="0">
      <selection activeCell="C7" sqref="C7"/>
    </sheetView>
  </sheetViews>
  <sheetFormatPr baseColWidth="10" defaultRowHeight="15" x14ac:dyDescent="0.25"/>
  <cols>
    <col min="1" max="1" width="28" customWidth="1"/>
  </cols>
  <sheetData>
    <row r="1" spans="1:4" x14ac:dyDescent="0.25">
      <c r="A1" s="1" t="s">
        <v>0</v>
      </c>
      <c r="B1" s="1" t="s">
        <v>9</v>
      </c>
      <c r="C1" s="1" t="s">
        <v>10</v>
      </c>
      <c r="D1" s="1" t="s">
        <v>11</v>
      </c>
    </row>
    <row r="2" spans="1:4" x14ac:dyDescent="0.25">
      <c r="A2" s="1" t="s">
        <v>12</v>
      </c>
      <c r="B2">
        <v>10</v>
      </c>
      <c r="C2">
        <v>1</v>
      </c>
      <c r="D2" t="s">
        <v>33</v>
      </c>
    </row>
    <row r="3" spans="1:4" x14ac:dyDescent="0.25">
      <c r="A3" s="1" t="s">
        <v>13</v>
      </c>
      <c r="B3">
        <v>10</v>
      </c>
      <c r="C3">
        <v>1</v>
      </c>
      <c r="D3" t="s">
        <v>33</v>
      </c>
    </row>
    <row r="4" spans="1:4" x14ac:dyDescent="0.25">
      <c r="A4" s="1" t="s">
        <v>14</v>
      </c>
      <c r="B4">
        <v>10</v>
      </c>
      <c r="C4">
        <v>4</v>
      </c>
      <c r="D4" t="s">
        <v>34</v>
      </c>
    </row>
    <row r="5" spans="1:4" x14ac:dyDescent="0.25">
      <c r="A5" s="1" t="s">
        <v>15</v>
      </c>
      <c r="B5">
        <v>10</v>
      </c>
      <c r="C5">
        <v>2</v>
      </c>
      <c r="D5" t="s">
        <v>35</v>
      </c>
    </row>
    <row r="6" spans="1:4" x14ac:dyDescent="0.25">
      <c r="A6" s="1" t="s">
        <v>16</v>
      </c>
      <c r="B6">
        <v>10</v>
      </c>
      <c r="C6">
        <v>4</v>
      </c>
      <c r="D6" t="s">
        <v>36</v>
      </c>
    </row>
    <row r="7" spans="1:4" x14ac:dyDescent="0.25">
      <c r="A7" s="1" t="s">
        <v>17</v>
      </c>
      <c r="B7">
        <v>10</v>
      </c>
      <c r="C7">
        <v>2</v>
      </c>
      <c r="D7" t="s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9"/>
  <dimension ref="A1:C2"/>
  <sheetViews>
    <sheetView tabSelected="1" workbookViewId="0">
      <selection activeCell="B2" sqref="B2"/>
    </sheetView>
  </sheetViews>
  <sheetFormatPr baseColWidth="10" defaultRowHeight="15" x14ac:dyDescent="0.25"/>
  <cols>
    <col min="2" max="2" width="15.42578125" customWidth="1"/>
    <col min="3" max="3" width="11.140625" customWidth="1"/>
  </cols>
  <sheetData>
    <row r="1" spans="1:3" x14ac:dyDescent="0.25">
      <c r="A1" s="2" t="s">
        <v>0</v>
      </c>
      <c r="B1" s="2" t="s">
        <v>1</v>
      </c>
      <c r="C1" s="2" t="s">
        <v>25</v>
      </c>
    </row>
    <row r="2" spans="1:3" x14ac:dyDescent="0.25">
      <c r="A2" t="s">
        <v>50</v>
      </c>
      <c r="B2" t="s">
        <v>31</v>
      </c>
      <c r="C2">
        <v>0</v>
      </c>
    </row>
  </sheetData>
  <dataValidations count="1">
    <dataValidation type="decimal" errorStyle="warning" allowBlank="1" showInputMessage="1" showErrorMessage="1" errorTitle="Waste Recycling" error="Waste recycling ratio must be between 0 and 1" sqref="C2" xr:uid="{00000000-0002-0000-0700-000000000000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Waste Allocation Type" error="Invalid Waste Allocation Type" xr:uid="{00000000-0002-0000-0700-000001000000}">
          <x14:formula1>
            <xm:f>Validate!$C$2:$C$8</xm:f>
          </x14:formula1>
          <xm:sqref>B2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2B56F-108E-469A-A62A-5D5E59CD123B}">
  <dimension ref="A1:J18"/>
  <sheetViews>
    <sheetView workbookViewId="0">
      <selection activeCell="F1" sqref="F1"/>
    </sheetView>
  </sheetViews>
  <sheetFormatPr baseColWidth="10" defaultRowHeight="15" x14ac:dyDescent="0.25"/>
  <cols>
    <col min="1" max="1" width="6" customWidth="1"/>
  </cols>
  <sheetData>
    <row r="1" spans="1:10" x14ac:dyDescent="0.25">
      <c r="A1" t="s">
        <v>0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94</v>
      </c>
      <c r="I1" t="s">
        <v>95</v>
      </c>
      <c r="J1" s="3" t="s">
        <v>91</v>
      </c>
    </row>
    <row r="2" spans="1:10" x14ac:dyDescent="0.25">
      <c r="A2" t="s">
        <v>37</v>
      </c>
      <c r="B2">
        <v>23312</v>
      </c>
      <c r="C2">
        <v>23559</v>
      </c>
      <c r="D2">
        <v>23415</v>
      </c>
      <c r="E2">
        <v>23672</v>
      </c>
      <c r="F2">
        <v>23538</v>
      </c>
      <c r="G2">
        <v>23437</v>
      </c>
      <c r="H2">
        <v>23303</v>
      </c>
      <c r="I2">
        <v>21198</v>
      </c>
      <c r="J2">
        <v>14644</v>
      </c>
    </row>
    <row r="3" spans="1:10" x14ac:dyDescent="0.25">
      <c r="A3" t="s">
        <v>38</v>
      </c>
      <c r="B3">
        <v>11272</v>
      </c>
      <c r="C3">
        <v>11270</v>
      </c>
      <c r="D3">
        <v>11272</v>
      </c>
      <c r="E3">
        <v>11270</v>
      </c>
      <c r="F3">
        <v>11280</v>
      </c>
      <c r="G3">
        <v>11272</v>
      </c>
      <c r="H3">
        <v>11261</v>
      </c>
      <c r="I3">
        <v>9018</v>
      </c>
      <c r="J3">
        <v>2015</v>
      </c>
    </row>
    <row r="4" spans="1:10" x14ac:dyDescent="0.25">
      <c r="A4" t="s">
        <v>39</v>
      </c>
      <c r="B4">
        <v>3033</v>
      </c>
      <c r="C4">
        <v>3305</v>
      </c>
      <c r="D4">
        <v>3096</v>
      </c>
      <c r="E4">
        <v>3375</v>
      </c>
      <c r="F4">
        <v>4488</v>
      </c>
      <c r="G4">
        <v>3109</v>
      </c>
      <c r="H4">
        <v>3038</v>
      </c>
      <c r="I4">
        <v>3990</v>
      </c>
      <c r="J4">
        <v>6971</v>
      </c>
    </row>
    <row r="5" spans="1:10" x14ac:dyDescent="0.25">
      <c r="A5" t="s">
        <v>40</v>
      </c>
      <c r="B5">
        <v>373.7</v>
      </c>
      <c r="C5">
        <v>406.3</v>
      </c>
      <c r="D5">
        <v>385.8</v>
      </c>
      <c r="E5">
        <v>419.6</v>
      </c>
      <c r="F5">
        <v>551.5</v>
      </c>
      <c r="G5">
        <v>505.6</v>
      </c>
      <c r="H5">
        <v>374.4</v>
      </c>
      <c r="I5">
        <v>491.7</v>
      </c>
      <c r="J5">
        <v>858.6</v>
      </c>
    </row>
    <row r="6" spans="1:10" x14ac:dyDescent="0.25">
      <c r="A6" t="s">
        <v>41</v>
      </c>
      <c r="B6">
        <v>5.84</v>
      </c>
      <c r="C6">
        <v>6.3129999999999997</v>
      </c>
      <c r="D6">
        <v>5.9610000000000003</v>
      </c>
      <c r="E6">
        <v>6.4459999999999997</v>
      </c>
      <c r="F6">
        <v>8.2840000000000007</v>
      </c>
      <c r="G6">
        <v>10.74</v>
      </c>
      <c r="H6">
        <v>5.85</v>
      </c>
      <c r="I6">
        <v>7.6820000000000004</v>
      </c>
      <c r="J6">
        <v>13.39</v>
      </c>
    </row>
    <row r="7" spans="1:10" x14ac:dyDescent="0.25">
      <c r="A7" t="s">
        <v>42</v>
      </c>
      <c r="B7">
        <v>9.266</v>
      </c>
      <c r="C7">
        <v>10.02</v>
      </c>
      <c r="D7">
        <v>9.4580000000000002</v>
      </c>
      <c r="E7">
        <v>10.23</v>
      </c>
      <c r="F7">
        <v>13.14</v>
      </c>
      <c r="G7">
        <v>14.25</v>
      </c>
      <c r="H7">
        <v>9.3130000000000006</v>
      </c>
      <c r="I7">
        <v>12.23</v>
      </c>
      <c r="J7">
        <v>21.34</v>
      </c>
    </row>
    <row r="8" spans="1:10" x14ac:dyDescent="0.25">
      <c r="A8" t="s">
        <v>43</v>
      </c>
      <c r="B8">
        <v>1767</v>
      </c>
      <c r="C8">
        <v>1752</v>
      </c>
      <c r="D8">
        <v>1767</v>
      </c>
      <c r="E8">
        <v>1752</v>
      </c>
      <c r="F8">
        <v>1695</v>
      </c>
      <c r="G8">
        <v>1767</v>
      </c>
      <c r="H8">
        <v>1765</v>
      </c>
      <c r="I8">
        <v>1413</v>
      </c>
      <c r="J8">
        <v>2015</v>
      </c>
    </row>
    <row r="9" spans="1:10" x14ac:dyDescent="0.25">
      <c r="A9" t="s">
        <v>44</v>
      </c>
      <c r="B9">
        <v>1550</v>
      </c>
      <c r="C9">
        <v>1522</v>
      </c>
      <c r="D9">
        <v>1547</v>
      </c>
      <c r="E9">
        <v>1518</v>
      </c>
      <c r="F9">
        <v>1412</v>
      </c>
      <c r="G9">
        <v>1570</v>
      </c>
      <c r="H9">
        <v>1548</v>
      </c>
      <c r="I9">
        <v>1158</v>
      </c>
      <c r="J9">
        <v>1407</v>
      </c>
    </row>
    <row r="10" spans="1:10" x14ac:dyDescent="0.25">
      <c r="A10" t="s">
        <v>45</v>
      </c>
      <c r="B10">
        <v>1717</v>
      </c>
      <c r="C10">
        <v>1690</v>
      </c>
      <c r="D10">
        <v>1714</v>
      </c>
      <c r="E10">
        <v>1687</v>
      </c>
      <c r="F10">
        <v>1509</v>
      </c>
      <c r="G10">
        <v>1738</v>
      </c>
      <c r="H10">
        <v>1715</v>
      </c>
      <c r="I10">
        <v>1307</v>
      </c>
      <c r="J10">
        <v>1516</v>
      </c>
    </row>
    <row r="11" spans="1:10" x14ac:dyDescent="0.25">
      <c r="A11" t="s">
        <v>46</v>
      </c>
      <c r="B11">
        <v>51870</v>
      </c>
      <c r="C11">
        <v>52594</v>
      </c>
      <c r="D11">
        <v>52139</v>
      </c>
      <c r="E11">
        <v>52889</v>
      </c>
      <c r="F11">
        <v>55815</v>
      </c>
      <c r="G11">
        <v>52103</v>
      </c>
      <c r="H11">
        <v>51854</v>
      </c>
      <c r="I11">
        <v>48167</v>
      </c>
      <c r="J11">
        <v>31042</v>
      </c>
    </row>
    <row r="12" spans="1:10" x14ac:dyDescent="0.25">
      <c r="A12" t="s">
        <v>63</v>
      </c>
      <c r="B12">
        <v>8119</v>
      </c>
      <c r="C12">
        <v>7916</v>
      </c>
      <c r="D12">
        <v>8155</v>
      </c>
      <c r="E12">
        <v>7954</v>
      </c>
      <c r="F12">
        <v>7061</v>
      </c>
      <c r="G12">
        <v>8163</v>
      </c>
      <c r="H12">
        <v>8116</v>
      </c>
      <c r="I12">
        <v>7383</v>
      </c>
      <c r="J12">
        <v>5100</v>
      </c>
    </row>
    <row r="13" spans="1:10" x14ac:dyDescent="0.25">
      <c r="A13" t="s">
        <v>64</v>
      </c>
      <c r="B13">
        <v>2278</v>
      </c>
      <c r="C13">
        <v>2484</v>
      </c>
      <c r="D13">
        <v>2243</v>
      </c>
      <c r="E13">
        <v>2447</v>
      </c>
      <c r="F13">
        <v>3259</v>
      </c>
      <c r="G13">
        <v>2236</v>
      </c>
      <c r="H13">
        <v>2282</v>
      </c>
      <c r="I13">
        <v>2997</v>
      </c>
      <c r="J13">
        <v>5236</v>
      </c>
    </row>
    <row r="14" spans="1:10" x14ac:dyDescent="0.25">
      <c r="A14" t="s">
        <v>47</v>
      </c>
      <c r="B14">
        <v>3.4260000000000002</v>
      </c>
      <c r="C14">
        <v>3.7069999999999999</v>
      </c>
      <c r="D14">
        <v>3.4969999999999999</v>
      </c>
      <c r="E14">
        <v>3.7840000000000007</v>
      </c>
      <c r="F14">
        <v>4.8600000000000003</v>
      </c>
      <c r="G14">
        <v>3.512</v>
      </c>
      <c r="H14">
        <v>4.0380000000000003</v>
      </c>
      <c r="I14">
        <v>5.3029999999999999</v>
      </c>
      <c r="J14">
        <v>9.2609999999999992</v>
      </c>
    </row>
    <row r="15" spans="1:10" x14ac:dyDescent="0.25">
      <c r="A15" t="s">
        <v>48</v>
      </c>
      <c r="B15">
        <v>186.1</v>
      </c>
      <c r="C15">
        <v>187.7</v>
      </c>
      <c r="D15">
        <v>186.8</v>
      </c>
      <c r="E15">
        <v>188.5</v>
      </c>
      <c r="F15">
        <v>108.2</v>
      </c>
      <c r="G15">
        <v>187.2</v>
      </c>
      <c r="H15">
        <v>186</v>
      </c>
      <c r="I15">
        <v>167</v>
      </c>
      <c r="J15">
        <v>120.8</v>
      </c>
    </row>
    <row r="16" spans="1:10" x14ac:dyDescent="0.25">
      <c r="A16" t="s">
        <v>32</v>
      </c>
      <c r="B16">
        <v>10000</v>
      </c>
      <c r="C16">
        <v>10000</v>
      </c>
      <c r="D16">
        <v>10000</v>
      </c>
      <c r="E16">
        <v>10000</v>
      </c>
      <c r="F16">
        <v>10000</v>
      </c>
      <c r="G16">
        <v>10000</v>
      </c>
      <c r="H16">
        <v>10000</v>
      </c>
      <c r="I16">
        <v>10000</v>
      </c>
      <c r="J16">
        <v>10000</v>
      </c>
    </row>
    <row r="17" spans="1:10" x14ac:dyDescent="0.25">
      <c r="A17" t="s">
        <v>49</v>
      </c>
      <c r="B17">
        <v>8180</v>
      </c>
      <c r="C17">
        <v>8180</v>
      </c>
      <c r="D17">
        <v>8180</v>
      </c>
      <c r="E17">
        <v>8180</v>
      </c>
      <c r="F17">
        <v>8180</v>
      </c>
      <c r="G17">
        <v>8180</v>
      </c>
      <c r="H17">
        <v>8089</v>
      </c>
      <c r="I17">
        <v>6544</v>
      </c>
      <c r="J17">
        <v>0</v>
      </c>
    </row>
    <row r="18" spans="1:10" x14ac:dyDescent="0.25">
      <c r="A18" t="s">
        <v>50</v>
      </c>
      <c r="B18">
        <v>367.86</v>
      </c>
      <c r="C18">
        <v>399.98700000000002</v>
      </c>
      <c r="D18">
        <v>379.839</v>
      </c>
      <c r="E18">
        <v>413.154</v>
      </c>
      <c r="F18">
        <v>543.21600000000001</v>
      </c>
      <c r="G18">
        <v>494.86</v>
      </c>
      <c r="H18">
        <v>368.5</v>
      </c>
      <c r="I18">
        <v>484</v>
      </c>
      <c r="J18">
        <f>J5-J6</f>
        <v>845.21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378CF-0D39-40B6-B8E2-446213EC00FD}">
  <dimension ref="A1:H18"/>
  <sheetViews>
    <sheetView workbookViewId="0">
      <selection activeCell="I34" sqref="I34"/>
    </sheetView>
  </sheetViews>
  <sheetFormatPr baseColWidth="10" defaultRowHeight="15" x14ac:dyDescent="0.25"/>
  <sheetData>
    <row r="1" spans="1:8" x14ac:dyDescent="0.25">
      <c r="A1" t="s">
        <v>0</v>
      </c>
      <c r="B1" t="s">
        <v>72</v>
      </c>
      <c r="C1" t="s">
        <v>73</v>
      </c>
      <c r="D1" t="s">
        <v>92</v>
      </c>
      <c r="E1" t="s">
        <v>79</v>
      </c>
      <c r="F1" t="s">
        <v>93</v>
      </c>
      <c r="G1" t="s">
        <v>77</v>
      </c>
      <c r="H1" t="s">
        <v>78</v>
      </c>
    </row>
    <row r="2" spans="1:8" x14ac:dyDescent="0.25">
      <c r="A2" t="s">
        <v>37</v>
      </c>
      <c r="B2">
        <v>23312</v>
      </c>
      <c r="C2">
        <v>23672</v>
      </c>
      <c r="D2">
        <v>14645</v>
      </c>
      <c r="E2">
        <v>18024</v>
      </c>
      <c r="F2">
        <v>23388</v>
      </c>
      <c r="G2">
        <v>23437</v>
      </c>
      <c r="H2">
        <v>23841</v>
      </c>
    </row>
    <row r="3" spans="1:8" x14ac:dyDescent="0.25">
      <c r="A3" t="s">
        <v>38</v>
      </c>
      <c r="B3">
        <v>11272</v>
      </c>
      <c r="C3">
        <v>11270</v>
      </c>
      <c r="D3">
        <v>2017</v>
      </c>
      <c r="E3">
        <v>5636</v>
      </c>
      <c r="F3">
        <v>11280</v>
      </c>
      <c r="G3">
        <v>11272</v>
      </c>
      <c r="H3">
        <v>11836</v>
      </c>
    </row>
    <row r="4" spans="1:8" x14ac:dyDescent="0.25">
      <c r="A4" t="s">
        <v>39</v>
      </c>
      <c r="B4">
        <v>3033</v>
      </c>
      <c r="C4">
        <v>3375</v>
      </c>
      <c r="D4">
        <v>6969</v>
      </c>
      <c r="E4">
        <v>5424</v>
      </c>
      <c r="F4">
        <v>4388</v>
      </c>
      <c r="G4">
        <v>3109</v>
      </c>
      <c r="H4">
        <v>2794</v>
      </c>
    </row>
    <row r="5" spans="1:8" x14ac:dyDescent="0.25">
      <c r="A5" t="s">
        <v>40</v>
      </c>
      <c r="B5">
        <v>373.7</v>
      </c>
      <c r="C5">
        <v>419.6</v>
      </c>
      <c r="D5">
        <v>858.7</v>
      </c>
      <c r="E5">
        <v>668.4</v>
      </c>
      <c r="F5">
        <v>533.1</v>
      </c>
      <c r="G5">
        <v>505.6</v>
      </c>
      <c r="H5">
        <v>344.3</v>
      </c>
    </row>
    <row r="6" spans="1:8" x14ac:dyDescent="0.25">
      <c r="A6" t="s">
        <v>41</v>
      </c>
      <c r="B6">
        <v>5.84</v>
      </c>
      <c r="C6">
        <v>6.4459999999999997</v>
      </c>
      <c r="D6">
        <v>13.42</v>
      </c>
      <c r="E6">
        <v>10.44</v>
      </c>
      <c r="F6">
        <v>8.1</v>
      </c>
      <c r="G6">
        <v>10.74</v>
      </c>
      <c r="H6">
        <v>5.3789999999999996</v>
      </c>
    </row>
    <row r="7" spans="1:8" x14ac:dyDescent="0.25">
      <c r="A7" t="s">
        <v>42</v>
      </c>
      <c r="B7">
        <v>9.266</v>
      </c>
      <c r="C7">
        <v>10.23</v>
      </c>
      <c r="D7">
        <v>21.29</v>
      </c>
      <c r="E7">
        <v>16.57</v>
      </c>
      <c r="F7">
        <v>12.85</v>
      </c>
      <c r="G7">
        <v>14.25</v>
      </c>
      <c r="H7">
        <v>8.5359999999999996</v>
      </c>
    </row>
    <row r="8" spans="1:8" x14ac:dyDescent="0.25">
      <c r="A8" t="s">
        <v>43</v>
      </c>
      <c r="B8">
        <v>1767</v>
      </c>
      <c r="C8">
        <v>1752</v>
      </c>
      <c r="D8">
        <v>2017</v>
      </c>
      <c r="E8">
        <v>883.3</v>
      </c>
      <c r="F8">
        <v>1695</v>
      </c>
      <c r="G8">
        <v>1767</v>
      </c>
      <c r="H8">
        <v>1855</v>
      </c>
    </row>
    <row r="9" spans="1:8" x14ac:dyDescent="0.25">
      <c r="A9" t="s">
        <v>44</v>
      </c>
      <c r="B9">
        <v>1550</v>
      </c>
      <c r="C9">
        <v>1518</v>
      </c>
      <c r="D9">
        <v>1408</v>
      </c>
      <c r="E9">
        <v>619.4</v>
      </c>
      <c r="F9">
        <v>1417</v>
      </c>
      <c r="G9">
        <v>1570</v>
      </c>
      <c r="H9">
        <v>1651</v>
      </c>
    </row>
    <row r="10" spans="1:8" x14ac:dyDescent="0.25">
      <c r="A10" t="s">
        <v>45</v>
      </c>
      <c r="B10">
        <v>1717</v>
      </c>
      <c r="C10">
        <v>1687</v>
      </c>
      <c r="D10">
        <v>1518</v>
      </c>
      <c r="E10">
        <v>742.3</v>
      </c>
      <c r="F10">
        <v>1513</v>
      </c>
      <c r="G10">
        <v>1738</v>
      </c>
      <c r="H10">
        <v>1823</v>
      </c>
    </row>
    <row r="11" spans="1:8" x14ac:dyDescent="0.25">
      <c r="A11" t="s">
        <v>46</v>
      </c>
      <c r="B11">
        <v>24531</v>
      </c>
      <c r="C11">
        <v>24983</v>
      </c>
      <c r="D11">
        <v>14873</v>
      </c>
      <c r="E11">
        <v>19778</v>
      </c>
      <c r="F11">
        <v>25870</v>
      </c>
      <c r="G11">
        <v>24647</v>
      </c>
      <c r="H11">
        <v>25002</v>
      </c>
    </row>
    <row r="12" spans="1:8" x14ac:dyDescent="0.25">
      <c r="A12" t="s">
        <v>63</v>
      </c>
      <c r="B12">
        <v>8119</v>
      </c>
      <c r="C12">
        <v>7954</v>
      </c>
      <c r="D12">
        <v>5101</v>
      </c>
      <c r="E12">
        <v>6278</v>
      </c>
      <c r="F12">
        <v>7016</v>
      </c>
      <c r="G12">
        <v>8163</v>
      </c>
      <c r="H12">
        <v>8303</v>
      </c>
    </row>
    <row r="13" spans="1:8" x14ac:dyDescent="0.25">
      <c r="A13" t="s">
        <v>64</v>
      </c>
      <c r="B13">
        <v>2278</v>
      </c>
      <c r="C13">
        <v>2447</v>
      </c>
      <c r="D13">
        <v>5235</v>
      </c>
      <c r="E13">
        <v>4074</v>
      </c>
      <c r="F13">
        <v>3303</v>
      </c>
      <c r="G13">
        <v>2236</v>
      </c>
      <c r="H13">
        <v>2099</v>
      </c>
    </row>
    <row r="14" spans="1:8" x14ac:dyDescent="0.25">
      <c r="A14" t="s">
        <v>47</v>
      </c>
      <c r="B14">
        <v>3.4260000000000002</v>
      </c>
      <c r="C14">
        <v>3.782</v>
      </c>
      <c r="D14">
        <v>7.8719999999999999</v>
      </c>
      <c r="E14">
        <v>6.1269999999999998</v>
      </c>
      <c r="F14">
        <v>4.75</v>
      </c>
      <c r="G14">
        <v>3.512</v>
      </c>
      <c r="H14">
        <v>3.1560000000000001</v>
      </c>
    </row>
    <row r="15" spans="1:8" x14ac:dyDescent="0.25">
      <c r="A15" t="s">
        <v>48</v>
      </c>
      <c r="B15">
        <v>186.1</v>
      </c>
      <c r="C15">
        <v>188.5</v>
      </c>
      <c r="D15">
        <v>120.8</v>
      </c>
      <c r="E15">
        <v>138.80000000000001</v>
      </c>
      <c r="F15">
        <v>107.6</v>
      </c>
      <c r="G15">
        <v>187.2</v>
      </c>
      <c r="H15">
        <v>190.9</v>
      </c>
    </row>
    <row r="16" spans="1:8" x14ac:dyDescent="0.25">
      <c r="A16" t="s">
        <v>32</v>
      </c>
      <c r="B16">
        <v>10000</v>
      </c>
      <c r="C16">
        <v>10000</v>
      </c>
      <c r="D16">
        <v>10000</v>
      </c>
      <c r="E16">
        <v>10000</v>
      </c>
      <c r="F16">
        <v>10000</v>
      </c>
      <c r="G16">
        <v>10000</v>
      </c>
      <c r="H16">
        <v>10000</v>
      </c>
    </row>
    <row r="17" spans="1:8" x14ac:dyDescent="0.25">
      <c r="A17" t="s">
        <v>49</v>
      </c>
      <c r="B17">
        <v>8180</v>
      </c>
      <c r="C17">
        <v>8180</v>
      </c>
      <c r="D17">
        <v>0</v>
      </c>
      <c r="E17">
        <v>4090</v>
      </c>
      <c r="F17">
        <v>8180</v>
      </c>
      <c r="G17">
        <v>8180</v>
      </c>
      <c r="H17">
        <v>8589</v>
      </c>
    </row>
    <row r="18" spans="1:8" x14ac:dyDescent="0.25">
      <c r="A18" t="s">
        <v>50</v>
      </c>
      <c r="B18">
        <v>367.9</v>
      </c>
      <c r="C18">
        <v>413.1</v>
      </c>
      <c r="D18">
        <v>845.3</v>
      </c>
      <c r="E18">
        <v>657.9</v>
      </c>
      <c r="F18">
        <v>525</v>
      </c>
      <c r="G18">
        <v>494.9</v>
      </c>
      <c r="H18">
        <v>338.9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A131-8F1C-4C88-A2F7-57D51FB769D6}">
  <dimension ref="A1:J18"/>
  <sheetViews>
    <sheetView workbookViewId="0">
      <selection activeCell="J32" sqref="J32"/>
    </sheetView>
  </sheetViews>
  <sheetFormatPr baseColWidth="10" defaultRowHeight="15" x14ac:dyDescent="0.25"/>
  <sheetData>
    <row r="1" spans="1:10" x14ac:dyDescent="0.25">
      <c r="A1" t="s">
        <v>0</v>
      </c>
      <c r="B1" t="s">
        <v>90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</row>
    <row r="2" spans="1:10" x14ac:dyDescent="0.25">
      <c r="A2" t="str">
        <f>Flows!A2</f>
        <v>B1</v>
      </c>
      <c r="B2">
        <v>23306</v>
      </c>
      <c r="C2">
        <v>22249</v>
      </c>
      <c r="D2">
        <v>21192</v>
      </c>
      <c r="E2">
        <v>20136</v>
      </c>
      <c r="F2">
        <v>19079</v>
      </c>
      <c r="G2">
        <v>18022</v>
      </c>
      <c r="H2">
        <v>16966</v>
      </c>
      <c r="I2">
        <v>15909</v>
      </c>
      <c r="J2">
        <v>14853</v>
      </c>
    </row>
    <row r="3" spans="1:10" x14ac:dyDescent="0.25">
      <c r="A3" t="str">
        <f>Flows!A3</f>
        <v>B2</v>
      </c>
      <c r="B3">
        <v>11265</v>
      </c>
      <c r="C3">
        <v>10139</v>
      </c>
      <c r="D3">
        <v>9012</v>
      </c>
      <c r="E3">
        <v>7886</v>
      </c>
      <c r="F3">
        <v>6759</v>
      </c>
      <c r="G3">
        <v>5633</v>
      </c>
      <c r="H3">
        <v>4506</v>
      </c>
      <c r="I3">
        <v>3380</v>
      </c>
      <c r="J3">
        <v>2253</v>
      </c>
    </row>
    <row r="4" spans="1:10" x14ac:dyDescent="0.25">
      <c r="A4" t="str">
        <f>Flows!A4</f>
        <v>B3</v>
      </c>
      <c r="B4">
        <v>3036</v>
      </c>
      <c r="C4">
        <v>3514</v>
      </c>
      <c r="D4">
        <v>3992</v>
      </c>
      <c r="E4">
        <v>4470</v>
      </c>
      <c r="F4">
        <v>4948</v>
      </c>
      <c r="G4">
        <v>5426</v>
      </c>
      <c r="H4">
        <v>5904</v>
      </c>
      <c r="I4">
        <v>6382</v>
      </c>
      <c r="J4">
        <v>6861</v>
      </c>
    </row>
    <row r="5" spans="1:10" x14ac:dyDescent="0.25">
      <c r="A5" t="str">
        <f>Flows!A5</f>
        <v>B4</v>
      </c>
      <c r="B5">
        <v>373.9</v>
      </c>
      <c r="C5">
        <v>432.8</v>
      </c>
      <c r="D5">
        <v>491.7</v>
      </c>
      <c r="E5">
        <v>550.5</v>
      </c>
      <c r="F5">
        <v>609.4</v>
      </c>
      <c r="G5">
        <v>668.3</v>
      </c>
      <c r="H5">
        <v>727.2</v>
      </c>
      <c r="I5">
        <v>786.1</v>
      </c>
      <c r="J5">
        <v>845</v>
      </c>
    </row>
    <row r="6" spans="1:10" x14ac:dyDescent="0.25">
      <c r="A6" t="str">
        <f>Flows!A6</f>
        <v>B5</v>
      </c>
      <c r="B6">
        <v>5.8330000000000002</v>
      </c>
      <c r="C6">
        <v>6.7510000000000003</v>
      </c>
      <c r="D6">
        <v>7.67</v>
      </c>
      <c r="E6">
        <v>8.5879999999999992</v>
      </c>
      <c r="F6">
        <v>9.5069999999999997</v>
      </c>
      <c r="G6">
        <v>10.43</v>
      </c>
      <c r="H6">
        <v>11.34</v>
      </c>
      <c r="I6">
        <v>12.26</v>
      </c>
      <c r="J6">
        <v>13.18</v>
      </c>
    </row>
    <row r="7" spans="1:10" x14ac:dyDescent="0.25">
      <c r="A7" t="str">
        <f>Flows!A7</f>
        <v>B6</v>
      </c>
      <c r="B7">
        <v>9.2929999999999993</v>
      </c>
      <c r="C7">
        <v>10.76</v>
      </c>
      <c r="D7">
        <v>12.22</v>
      </c>
      <c r="E7">
        <v>13.68</v>
      </c>
      <c r="F7">
        <v>15.15</v>
      </c>
      <c r="G7">
        <v>16.61</v>
      </c>
      <c r="H7">
        <v>18.07</v>
      </c>
      <c r="I7">
        <v>19.54</v>
      </c>
      <c r="J7">
        <v>21</v>
      </c>
    </row>
    <row r="8" spans="1:10" x14ac:dyDescent="0.25">
      <c r="A8" t="str">
        <f>Flows!A8</f>
        <v>B7</v>
      </c>
      <c r="B8">
        <v>1763</v>
      </c>
      <c r="C8">
        <v>1587</v>
      </c>
      <c r="D8">
        <v>1411</v>
      </c>
      <c r="E8">
        <v>1234</v>
      </c>
      <c r="F8">
        <v>1058</v>
      </c>
      <c r="G8">
        <v>881.7</v>
      </c>
      <c r="H8">
        <v>705.4</v>
      </c>
      <c r="I8">
        <v>529</v>
      </c>
      <c r="J8">
        <v>352.7</v>
      </c>
    </row>
    <row r="9" spans="1:10" x14ac:dyDescent="0.25">
      <c r="A9" t="str">
        <f>Flows!A9</f>
        <v>B8</v>
      </c>
      <c r="B9">
        <v>1547</v>
      </c>
      <c r="C9">
        <v>1349</v>
      </c>
      <c r="D9">
        <v>1156</v>
      </c>
      <c r="E9">
        <v>968.7</v>
      </c>
      <c r="F9">
        <v>788.9</v>
      </c>
      <c r="G9">
        <v>618.29999999999995</v>
      </c>
      <c r="H9">
        <v>459.1</v>
      </c>
      <c r="I9">
        <v>314.39999999999998</v>
      </c>
      <c r="J9">
        <v>188.8</v>
      </c>
    </row>
    <row r="10" spans="1:10" x14ac:dyDescent="0.25">
      <c r="A10" t="str">
        <f>Flows!A10</f>
        <v>B9</v>
      </c>
      <c r="B10">
        <v>1714</v>
      </c>
      <c r="C10">
        <v>1507</v>
      </c>
      <c r="D10">
        <v>1305</v>
      </c>
      <c r="E10">
        <v>1109</v>
      </c>
      <c r="F10">
        <v>920.4</v>
      </c>
      <c r="G10">
        <v>741.1</v>
      </c>
      <c r="H10">
        <v>573.29999999999995</v>
      </c>
      <c r="I10">
        <v>420.1</v>
      </c>
      <c r="J10">
        <v>286</v>
      </c>
    </row>
    <row r="11" spans="1:10" x14ac:dyDescent="0.25">
      <c r="A11" t="str">
        <f>Flows!A11</f>
        <v>QH</v>
      </c>
      <c r="B11">
        <v>51871</v>
      </c>
      <c r="C11">
        <v>50018</v>
      </c>
      <c r="D11">
        <v>48166</v>
      </c>
      <c r="E11">
        <v>46314</v>
      </c>
      <c r="F11">
        <v>44462</v>
      </c>
      <c r="G11">
        <v>42610</v>
      </c>
      <c r="H11">
        <v>40758</v>
      </c>
      <c r="I11">
        <v>38907</v>
      </c>
      <c r="J11">
        <v>37056</v>
      </c>
    </row>
    <row r="12" spans="1:10" x14ac:dyDescent="0.25">
      <c r="A12" t="str">
        <f>Flows!A12</f>
        <v>WT1</v>
      </c>
      <c r="B12">
        <v>8118</v>
      </c>
      <c r="C12">
        <v>7749</v>
      </c>
      <c r="D12">
        <v>7381</v>
      </c>
      <c r="E12">
        <v>7013</v>
      </c>
      <c r="F12">
        <v>6645</v>
      </c>
      <c r="G12">
        <v>6277</v>
      </c>
      <c r="H12">
        <v>5909</v>
      </c>
      <c r="I12">
        <v>5541</v>
      </c>
      <c r="J12">
        <v>5173</v>
      </c>
    </row>
    <row r="13" spans="1:10" x14ac:dyDescent="0.25">
      <c r="A13" t="str">
        <f>Flows!A13</f>
        <v>WT2</v>
      </c>
      <c r="B13">
        <v>2280</v>
      </c>
      <c r="C13">
        <v>2639</v>
      </c>
      <c r="D13">
        <v>2998</v>
      </c>
      <c r="E13">
        <v>3358</v>
      </c>
      <c r="F13">
        <v>3717</v>
      </c>
      <c r="G13">
        <v>4076</v>
      </c>
      <c r="H13">
        <v>4435</v>
      </c>
      <c r="I13">
        <v>4794</v>
      </c>
      <c r="J13">
        <v>5154</v>
      </c>
    </row>
    <row r="14" spans="1:10" x14ac:dyDescent="0.25">
      <c r="A14" t="str">
        <f>Flows!A14</f>
        <v>WPC</v>
      </c>
      <c r="B14">
        <v>4.0330000000000004</v>
      </c>
      <c r="C14">
        <v>4.6680000000000001</v>
      </c>
      <c r="D14">
        <v>5.3029999999999999</v>
      </c>
      <c r="E14">
        <v>5.9379999999999997</v>
      </c>
      <c r="F14">
        <v>6.5739999999999998</v>
      </c>
      <c r="G14">
        <v>7.2089999999999996</v>
      </c>
      <c r="H14">
        <v>7.8440000000000003</v>
      </c>
      <c r="I14">
        <v>8.48</v>
      </c>
      <c r="J14">
        <v>9.1150000000000002</v>
      </c>
    </row>
    <row r="15" spans="1:10" x14ac:dyDescent="0.25">
      <c r="A15" t="str">
        <f>Flows!A15</f>
        <v>WPA</v>
      </c>
      <c r="B15">
        <v>186</v>
      </c>
      <c r="C15">
        <v>176.4</v>
      </c>
      <c r="D15">
        <v>166.9</v>
      </c>
      <c r="E15">
        <v>157.4</v>
      </c>
      <c r="F15">
        <v>148</v>
      </c>
      <c r="G15">
        <v>138.69999999999999</v>
      </c>
      <c r="H15">
        <v>129.5</v>
      </c>
      <c r="I15">
        <v>120.3</v>
      </c>
      <c r="J15">
        <v>111.3</v>
      </c>
    </row>
    <row r="16" spans="1:10" x14ac:dyDescent="0.25">
      <c r="A16" t="str">
        <f>Flows!A16</f>
        <v>WN</v>
      </c>
      <c r="B16">
        <v>10000</v>
      </c>
      <c r="C16">
        <v>10000</v>
      </c>
      <c r="D16">
        <v>10000</v>
      </c>
      <c r="E16">
        <v>10000</v>
      </c>
      <c r="F16">
        <v>10000</v>
      </c>
      <c r="G16">
        <v>10000</v>
      </c>
      <c r="H16">
        <v>10000</v>
      </c>
      <c r="I16">
        <v>10000</v>
      </c>
      <c r="J16">
        <v>10000</v>
      </c>
    </row>
    <row r="17" spans="1:10" x14ac:dyDescent="0.25">
      <c r="A17" t="str">
        <f>Flows!A17</f>
        <v>QEVP</v>
      </c>
      <c r="B17">
        <v>8177</v>
      </c>
      <c r="C17">
        <v>7359</v>
      </c>
      <c r="D17">
        <v>6541</v>
      </c>
      <c r="E17">
        <v>5724</v>
      </c>
      <c r="F17">
        <v>4906</v>
      </c>
      <c r="G17">
        <v>4088</v>
      </c>
      <c r="H17">
        <v>3271</v>
      </c>
      <c r="I17">
        <v>2453</v>
      </c>
      <c r="J17">
        <v>1635</v>
      </c>
    </row>
    <row r="18" spans="1:10" x14ac:dyDescent="0.25">
      <c r="A18" t="str">
        <f>Flows!A18</f>
        <v>QCND</v>
      </c>
      <c r="B18">
        <v>368.1</v>
      </c>
      <c r="C18">
        <v>426</v>
      </c>
      <c r="D18">
        <v>484</v>
      </c>
      <c r="E18">
        <v>541.9</v>
      </c>
      <c r="F18">
        <v>599.9</v>
      </c>
      <c r="G18">
        <v>657.9</v>
      </c>
      <c r="H18">
        <v>715.9</v>
      </c>
      <c r="I18">
        <v>773.9</v>
      </c>
      <c r="J18">
        <v>831.9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CDC5-4692-48EC-9796-50DBE4D4E255}">
  <dimension ref="A1:L18"/>
  <sheetViews>
    <sheetView workbookViewId="0">
      <selection activeCell="B15" sqref="B15:L15"/>
    </sheetView>
  </sheetViews>
  <sheetFormatPr baseColWidth="10" defaultRowHeight="15" x14ac:dyDescent="0.25"/>
  <sheetData>
    <row r="1" spans="1:12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</row>
    <row r="2" spans="1:12" x14ac:dyDescent="0.25">
      <c r="A2" t="s">
        <v>37</v>
      </c>
      <c r="B2">
        <v>12740</v>
      </c>
      <c r="C2">
        <v>13796</v>
      </c>
      <c r="D2">
        <v>14853</v>
      </c>
      <c r="E2">
        <v>15910</v>
      </c>
      <c r="F2">
        <v>16967</v>
      </c>
      <c r="G2">
        <v>18024</v>
      </c>
      <c r="H2">
        <v>19082</v>
      </c>
      <c r="I2">
        <v>20139</v>
      </c>
      <c r="J2">
        <v>21197</v>
      </c>
      <c r="K2">
        <v>22255</v>
      </c>
      <c r="L2">
        <v>23312</v>
      </c>
    </row>
    <row r="3" spans="1:12" x14ac:dyDescent="0.25">
      <c r="A3" t="s">
        <v>38</v>
      </c>
      <c r="B3">
        <v>0</v>
      </c>
      <c r="C3">
        <v>1127</v>
      </c>
      <c r="D3">
        <v>2254</v>
      </c>
      <c r="E3">
        <v>3382</v>
      </c>
      <c r="F3">
        <v>4509</v>
      </c>
      <c r="G3">
        <v>5636</v>
      </c>
      <c r="H3">
        <v>6763</v>
      </c>
      <c r="I3">
        <v>7890</v>
      </c>
      <c r="J3">
        <v>9018</v>
      </c>
      <c r="K3">
        <v>10145</v>
      </c>
      <c r="L3">
        <v>11272</v>
      </c>
    </row>
    <row r="4" spans="1:12" x14ac:dyDescent="0.25">
      <c r="A4" t="s">
        <v>39</v>
      </c>
      <c r="B4">
        <v>7817</v>
      </c>
      <c r="C4">
        <v>7338</v>
      </c>
      <c r="D4">
        <v>6860</v>
      </c>
      <c r="E4">
        <v>6381</v>
      </c>
      <c r="F4">
        <v>5903</v>
      </c>
      <c r="G4">
        <v>5424</v>
      </c>
      <c r="H4">
        <v>4946</v>
      </c>
      <c r="I4">
        <v>4468</v>
      </c>
      <c r="J4">
        <v>3989</v>
      </c>
      <c r="K4">
        <v>3511</v>
      </c>
      <c r="L4">
        <v>3033</v>
      </c>
    </row>
    <row r="5" spans="1:12" x14ac:dyDescent="0.25">
      <c r="A5" t="s">
        <v>40</v>
      </c>
      <c r="B5">
        <v>963.3</v>
      </c>
      <c r="C5">
        <v>904.2</v>
      </c>
      <c r="D5">
        <v>845.3</v>
      </c>
      <c r="E5">
        <v>786.3</v>
      </c>
      <c r="F5">
        <v>727.3</v>
      </c>
      <c r="G5">
        <v>668.4</v>
      </c>
      <c r="H5">
        <v>609.4</v>
      </c>
      <c r="I5">
        <v>550.5</v>
      </c>
      <c r="J5">
        <v>491.6</v>
      </c>
      <c r="K5">
        <v>432.7</v>
      </c>
      <c r="L5">
        <v>373.7</v>
      </c>
    </row>
    <row r="6" spans="1:12" x14ac:dyDescent="0.25">
      <c r="A6" t="s">
        <v>41</v>
      </c>
      <c r="B6">
        <v>15.05</v>
      </c>
      <c r="C6">
        <v>14.13</v>
      </c>
      <c r="D6">
        <v>13.21</v>
      </c>
      <c r="E6">
        <v>12.29</v>
      </c>
      <c r="F6">
        <v>11.36</v>
      </c>
      <c r="G6">
        <v>10.44</v>
      </c>
      <c r="H6">
        <v>9.5229999999999997</v>
      </c>
      <c r="I6">
        <v>8.6020000000000003</v>
      </c>
      <c r="J6">
        <v>7.681</v>
      </c>
      <c r="K6">
        <v>6.76</v>
      </c>
      <c r="L6">
        <v>5.84</v>
      </c>
    </row>
    <row r="7" spans="1:12" x14ac:dyDescent="0.25">
      <c r="A7" t="s">
        <v>42</v>
      </c>
      <c r="B7">
        <v>23.88</v>
      </c>
      <c r="C7">
        <v>22.42</v>
      </c>
      <c r="D7">
        <v>20.96</v>
      </c>
      <c r="E7">
        <v>19.489999999999998</v>
      </c>
      <c r="F7">
        <v>18.03</v>
      </c>
      <c r="G7">
        <v>16.57</v>
      </c>
      <c r="H7">
        <v>15.11</v>
      </c>
      <c r="I7">
        <v>13.65</v>
      </c>
      <c r="J7">
        <v>12.19</v>
      </c>
      <c r="K7">
        <v>10.73</v>
      </c>
      <c r="L7">
        <v>9.266</v>
      </c>
    </row>
    <row r="8" spans="1:12" x14ac:dyDescent="0.25">
      <c r="A8" t="s">
        <v>43</v>
      </c>
      <c r="B8">
        <v>0</v>
      </c>
      <c r="C8">
        <v>176.7</v>
      </c>
      <c r="D8">
        <v>353.3</v>
      </c>
      <c r="E8">
        <v>530</v>
      </c>
      <c r="F8">
        <v>706.7</v>
      </c>
      <c r="G8">
        <v>883.3</v>
      </c>
      <c r="H8">
        <v>1060</v>
      </c>
      <c r="I8">
        <v>1237</v>
      </c>
      <c r="J8">
        <v>1413</v>
      </c>
      <c r="K8">
        <v>1590</v>
      </c>
      <c r="L8">
        <v>1767</v>
      </c>
    </row>
    <row r="9" spans="1:12" x14ac:dyDescent="0.25">
      <c r="A9" t="s">
        <v>44</v>
      </c>
      <c r="B9">
        <v>23.89</v>
      </c>
      <c r="C9">
        <v>88.76</v>
      </c>
      <c r="D9">
        <v>189</v>
      </c>
      <c r="E9">
        <v>314.89999999999998</v>
      </c>
      <c r="F9">
        <v>459.8</v>
      </c>
      <c r="G9">
        <v>619.4</v>
      </c>
      <c r="H9">
        <v>790.4</v>
      </c>
      <c r="I9">
        <v>970.5</v>
      </c>
      <c r="J9">
        <v>1158</v>
      </c>
      <c r="K9">
        <v>1352</v>
      </c>
      <c r="L9">
        <v>1550</v>
      </c>
    </row>
    <row r="10" spans="1:12" x14ac:dyDescent="0.25">
      <c r="A10" t="s">
        <v>45</v>
      </c>
      <c r="B10">
        <v>104.4</v>
      </c>
      <c r="C10">
        <v>177.6</v>
      </c>
      <c r="D10">
        <v>286.2</v>
      </c>
      <c r="E10">
        <v>420.6</v>
      </c>
      <c r="F10">
        <v>574.1</v>
      </c>
      <c r="G10">
        <v>742.3</v>
      </c>
      <c r="H10">
        <v>922</v>
      </c>
      <c r="I10">
        <v>1111</v>
      </c>
      <c r="J10">
        <v>1307</v>
      </c>
      <c r="K10">
        <v>1510</v>
      </c>
      <c r="L10">
        <v>1717</v>
      </c>
    </row>
    <row r="11" spans="1:12" x14ac:dyDescent="0.25">
      <c r="A11" t="s">
        <v>46</v>
      </c>
      <c r="B11">
        <v>14894</v>
      </c>
      <c r="C11">
        <v>15890</v>
      </c>
      <c r="D11">
        <v>16874</v>
      </c>
      <c r="E11">
        <v>17849</v>
      </c>
      <c r="F11">
        <v>18816</v>
      </c>
      <c r="G11">
        <v>19778</v>
      </c>
      <c r="H11">
        <v>20735</v>
      </c>
      <c r="I11">
        <v>21688</v>
      </c>
      <c r="J11">
        <v>22638</v>
      </c>
      <c r="K11">
        <v>23586</v>
      </c>
      <c r="L11">
        <v>24531</v>
      </c>
    </row>
    <row r="12" spans="1:12" x14ac:dyDescent="0.25">
      <c r="A12" t="s">
        <v>63</v>
      </c>
      <c r="B12">
        <v>4437</v>
      </c>
      <c r="C12">
        <v>4805</v>
      </c>
      <c r="D12">
        <v>5173</v>
      </c>
      <c r="E12">
        <v>5541</v>
      </c>
      <c r="F12">
        <v>5909</v>
      </c>
      <c r="G12">
        <v>6278</v>
      </c>
      <c r="H12">
        <v>6646</v>
      </c>
      <c r="I12">
        <v>7014</v>
      </c>
      <c r="J12">
        <v>7382</v>
      </c>
      <c r="K12">
        <v>7751</v>
      </c>
      <c r="L12">
        <v>8119</v>
      </c>
    </row>
    <row r="13" spans="1:12" x14ac:dyDescent="0.25">
      <c r="A13" t="s">
        <v>64</v>
      </c>
      <c r="B13">
        <v>5872</v>
      </c>
      <c r="C13">
        <v>5512</v>
      </c>
      <c r="D13">
        <v>5153</v>
      </c>
      <c r="E13">
        <v>4793</v>
      </c>
      <c r="F13">
        <v>4434</v>
      </c>
      <c r="G13">
        <v>4074</v>
      </c>
      <c r="H13">
        <v>3715</v>
      </c>
      <c r="I13">
        <v>3356</v>
      </c>
      <c r="J13">
        <v>2997</v>
      </c>
      <c r="K13">
        <v>2637</v>
      </c>
      <c r="L13">
        <v>2278</v>
      </c>
    </row>
    <row r="14" spans="1:12" x14ac:dyDescent="0.25">
      <c r="A14" t="s">
        <v>47</v>
      </c>
      <c r="B14">
        <v>8.8299999999999983</v>
      </c>
      <c r="C14">
        <v>8.2900000000000009</v>
      </c>
      <c r="D14">
        <v>7.75</v>
      </c>
      <c r="E14">
        <v>7.1999999999999993</v>
      </c>
      <c r="F14">
        <v>6.6700000000000017</v>
      </c>
      <c r="G14">
        <v>6.1300000000000008</v>
      </c>
      <c r="H14">
        <v>5.5869999999999997</v>
      </c>
      <c r="I14">
        <v>5.048</v>
      </c>
      <c r="J14">
        <v>4.5089999999999995</v>
      </c>
      <c r="K14">
        <v>3.9700000000000006</v>
      </c>
      <c r="L14">
        <v>3.4260000000000002</v>
      </c>
    </row>
    <row r="15" spans="1:12" x14ac:dyDescent="0.25">
      <c r="A15" t="s">
        <v>48</v>
      </c>
      <c r="B15">
        <v>93.86</v>
      </c>
      <c r="C15">
        <v>102.5</v>
      </c>
      <c r="D15">
        <v>111.4</v>
      </c>
      <c r="E15">
        <v>120.4</v>
      </c>
      <c r="F15">
        <v>129.5</v>
      </c>
      <c r="G15">
        <v>138.80000000000001</v>
      </c>
      <c r="H15">
        <v>148.1</v>
      </c>
      <c r="I15">
        <v>157.5</v>
      </c>
      <c r="J15">
        <v>167</v>
      </c>
      <c r="K15">
        <v>176.5</v>
      </c>
      <c r="L15">
        <v>186.1</v>
      </c>
    </row>
    <row r="16" spans="1:12" x14ac:dyDescent="0.25">
      <c r="A16" t="s">
        <v>32</v>
      </c>
      <c r="B16">
        <v>10000</v>
      </c>
      <c r="C16">
        <v>10000</v>
      </c>
      <c r="D16">
        <v>10000</v>
      </c>
      <c r="E16">
        <v>10000</v>
      </c>
      <c r="F16">
        <v>10000</v>
      </c>
      <c r="G16">
        <v>10000</v>
      </c>
      <c r="H16">
        <v>10000</v>
      </c>
      <c r="I16">
        <v>10000</v>
      </c>
      <c r="J16">
        <v>10000</v>
      </c>
      <c r="K16">
        <v>10000</v>
      </c>
      <c r="L16">
        <v>10000</v>
      </c>
    </row>
    <row r="17" spans="1:12" x14ac:dyDescent="0.25">
      <c r="A17" t="s">
        <v>49</v>
      </c>
      <c r="B17">
        <v>0</v>
      </c>
      <c r="C17">
        <v>818</v>
      </c>
      <c r="D17">
        <v>1636</v>
      </c>
      <c r="E17">
        <v>2454</v>
      </c>
      <c r="F17">
        <v>3272</v>
      </c>
      <c r="G17">
        <v>4090</v>
      </c>
      <c r="H17">
        <v>4908</v>
      </c>
      <c r="I17">
        <v>5726</v>
      </c>
      <c r="J17">
        <v>6544</v>
      </c>
      <c r="K17">
        <v>7362</v>
      </c>
      <c r="L17">
        <v>8180</v>
      </c>
    </row>
    <row r="18" spans="1:12" x14ac:dyDescent="0.25">
      <c r="A18" t="s">
        <v>50</v>
      </c>
      <c r="B18">
        <v>948.25</v>
      </c>
      <c r="C18">
        <v>890.07</v>
      </c>
      <c r="D18">
        <v>832.08999999999992</v>
      </c>
      <c r="E18">
        <v>774.01</v>
      </c>
      <c r="F18">
        <v>715.93999999999994</v>
      </c>
      <c r="G18">
        <v>657.95999999999992</v>
      </c>
      <c r="H18">
        <v>599.87699999999995</v>
      </c>
      <c r="I18">
        <v>541.89800000000002</v>
      </c>
      <c r="J18">
        <v>483.91900000000004</v>
      </c>
      <c r="K18">
        <v>425.94</v>
      </c>
      <c r="L18">
        <v>367.86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E23DD-48BF-471F-858A-4B55FBA6ABB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4</vt:i4>
      </vt:variant>
    </vt:vector>
  </HeadingPairs>
  <TitlesOfParts>
    <vt:vector size="16" baseType="lpstr">
      <vt:lpstr>PhysicalDiagram</vt:lpstr>
      <vt:lpstr>Validate</vt:lpstr>
      <vt:lpstr>Flows</vt:lpstr>
      <vt:lpstr>Processes</vt:lpstr>
      <vt:lpstr>Exergy</vt:lpstr>
      <vt:lpstr>Format</vt:lpstr>
      <vt:lpstr>WasteDefinition</vt:lpstr>
      <vt:lpstr>Exergy_Boiler</vt:lpstr>
      <vt:lpstr>Exergy_HRSG</vt:lpstr>
      <vt:lpstr>ExergyB_Table</vt:lpstr>
      <vt:lpstr>ExergyH_Table</vt:lpstr>
      <vt:lpstr>Hoja1</vt:lpstr>
      <vt:lpstr>Flows!cgam_flows</vt:lpstr>
      <vt:lpstr>Processes!cgam_processes</vt:lpstr>
      <vt:lpstr>Exergy_Boiler!cgam_sample</vt:lpstr>
      <vt:lpstr>Format!tgas_fmt</vt:lpstr>
    </vt:vector>
  </TitlesOfParts>
  <Company>ENEL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Torres Cuadra, Cesar</dc:creator>
  <cp:lastModifiedBy>César Torres Cuadra</cp:lastModifiedBy>
  <dcterms:created xsi:type="dcterms:W3CDTF">2020-06-03T07:18:00Z</dcterms:created>
  <dcterms:modified xsi:type="dcterms:W3CDTF">2025-11-24T15:03:58Z</dcterms:modified>
</cp:coreProperties>
</file>