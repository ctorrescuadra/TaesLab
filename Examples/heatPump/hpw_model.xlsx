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torr\Documents\Proyectos\TaesLab\Examples\heatPump\"/>
    </mc:Choice>
  </mc:AlternateContent>
  <xr:revisionPtr revIDLastSave="0" documentId="13_ncr:1_{96333EB2-D297-4B32-9B55-2754975249D6}" xr6:coauthVersionLast="47" xr6:coauthVersionMax="47" xr10:uidLastSave="{00000000-0000-0000-0000-000000000000}"/>
  <bookViews>
    <workbookView xWindow="780" yWindow="780" windowWidth="15780" windowHeight="14700" firstSheet="2" activeTab="6" xr2:uid="{00000000-000D-0000-FFFF-FFFF00000000}"/>
  </bookViews>
  <sheets>
    <sheet name="PhysicalDiagram" sheetId="5" r:id="rId1"/>
    <sheet name="Validate" sheetId="9" r:id="rId2"/>
    <sheet name="Flows" sheetId="1" r:id="rId3"/>
    <sheet name="Processes" sheetId="2" r:id="rId4"/>
    <sheet name="Exergy" sheetId="3" r:id="rId5"/>
    <sheet name="Format" sheetId="6" r:id="rId6"/>
    <sheet name="WasteDefinition" sheetId="8" r:id="rId7"/>
  </sheets>
  <definedNames>
    <definedName name="cgam_flows" localSheetId="2">Flows!$A$1:$B$6</definedName>
    <definedName name="cgam_processes" localSheetId="3">Processes!$A$1:$B$4</definedName>
    <definedName name="tgas_fmt" localSheetId="5">Format!$A$1:$D$7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gam_flows" type="6" refreshedVersion="6" deleted="1" background="1" saveData="1">
    <textPr codePage="850" sourceFile="C:\Users\es17155931r\Personal\Termoeconomia\ExIOLab\Ejemplos\cgam\cgam_flows.csv" comma="1">
      <textFields count="2">
        <textField/>
        <textField/>
      </textFields>
    </textPr>
  </connection>
  <connection id="2" xr16:uid="{00000000-0015-0000-FFFF-FFFF01000000}" name="cgam_processes" type="6" refreshedVersion="6" deleted="1" background="1" saveData="1">
    <textPr codePage="850" sourceFile="C:\Users\es17155931r\Personal\Termoeconomia\ExIOLab\Ejemplos\cgam\cgam_processes.csv" comma="1">
      <textFields count="5">
        <textField/>
        <textField/>
        <textField/>
        <textField/>
        <textField/>
      </textFields>
    </textPr>
  </connection>
  <connection id="3" xr16:uid="{00000000-0015-0000-FFFF-FFFF04000000}" name="tgas_fmt" type="6" refreshedVersion="6" deleted="1" background="1" saveData="1">
    <textPr codePage="850" sourceFile="C:\Users\es17155931r\Personal\Termoeconomia\ExIOLab2\Ejemplos\tgas\tgas_fmt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<sst xmlns="http://schemas.openxmlformats.org/spreadsheetml/2006/main" count="90" uniqueCount="61">
  <si>
    <t>key</t>
  </si>
  <si>
    <t>type</t>
  </si>
  <si>
    <t>RESOURCE</t>
  </si>
  <si>
    <t>INTERNAL</t>
  </si>
  <si>
    <t>OUTPUT</t>
  </si>
  <si>
    <t>description</t>
  </si>
  <si>
    <t>fuel</t>
  </si>
  <si>
    <t>product</t>
  </si>
  <si>
    <t>PRODUCTIVE</t>
  </si>
  <si>
    <t>DISSIPATIVE</t>
  </si>
  <si>
    <t>width</t>
  </si>
  <si>
    <t>precision</t>
  </si>
  <si>
    <t>unit</t>
  </si>
  <si>
    <t>EXERGY</t>
  </si>
  <si>
    <t>EXERGY_COST</t>
  </si>
  <si>
    <t>EXERGY_UNIT_COST</t>
  </si>
  <si>
    <t>GENERALIZED_COST</t>
  </si>
  <si>
    <t>GENERALIZED_UNIT_COST</t>
  </si>
  <si>
    <t>DIAGNOSIS</t>
  </si>
  <si>
    <t>IRREVERSIBILITY</t>
  </si>
  <si>
    <t>Flows</t>
  </si>
  <si>
    <t>Processes</t>
  </si>
  <si>
    <t>Wastes</t>
  </si>
  <si>
    <t>DEFAULT</t>
  </si>
  <si>
    <t>MANUAL</t>
  </si>
  <si>
    <t>COST</t>
  </si>
  <si>
    <t>recycle</t>
  </si>
  <si>
    <t>WASTE</t>
  </si>
  <si>
    <t>Resources</t>
  </si>
  <si>
    <t>FLOW</t>
  </si>
  <si>
    <t>PROCESS</t>
  </si>
  <si>
    <t>RESOURCES</t>
  </si>
  <si>
    <t>HYBRID</t>
  </si>
  <si>
    <t>(kW)</t>
  </si>
  <si>
    <t>(J/J)</t>
  </si>
  <si>
    <t>(c/h)</t>
  </si>
  <si>
    <t>(c/kWh)</t>
  </si>
  <si>
    <t>CMP</t>
  </si>
  <si>
    <t>EVP</t>
  </si>
  <si>
    <t>CND</t>
  </si>
  <si>
    <t>VEXP</t>
  </si>
  <si>
    <t>Compressor</t>
  </si>
  <si>
    <t>Evaporator</t>
  </si>
  <si>
    <t>Condenser</t>
  </si>
  <si>
    <t>Expansion Valve</t>
  </si>
  <si>
    <t>WC</t>
  </si>
  <si>
    <t>B2-B1</t>
  </si>
  <si>
    <t>QEVP</t>
  </si>
  <si>
    <t>B4-B1</t>
  </si>
  <si>
    <t>B2-B3</t>
  </si>
  <si>
    <t>QCND</t>
  </si>
  <si>
    <t>QEXP</t>
  </si>
  <si>
    <t>B3-B4</t>
  </si>
  <si>
    <t>B1</t>
  </si>
  <si>
    <t>B2</t>
  </si>
  <si>
    <t>B3</t>
  </si>
  <si>
    <t>B4</t>
  </si>
  <si>
    <t>REF</t>
  </si>
  <si>
    <t>ETAC75</t>
  </si>
  <si>
    <t>PCND32</t>
  </si>
  <si>
    <t>PEVAP73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</si>
</sst>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2499465926084170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2</xdr:row>
      <xdr:rowOff>76200</xdr:rowOff>
    </xdr:from>
    <xdr:to>
      <xdr:col>7</xdr:col>
      <xdr:colOff>242947</xdr:colOff>
      <xdr:row>25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92E6C4-D91F-4101-A16D-6295EB73F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"/>
          <a:ext cx="4967347" cy="439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gam_flows" connectionId="1" xr16:uid="{00000000-0016-0000-02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gam_processes" connectionId="2" xr16:uid="{00000000-0016-0000-03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gas_fmt" connectionId="3" xr16:uid="{00000000-0016-0000-0500-000003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7277-95FE-4E40-A6B2-D0E1B5D23749}">
  <sheetPr codeName="Hoja1">
    <tabColor rgb="FFC00000"/>
  </sheetPr>
  <dimension ref="A1"/>
  <sheetViews>
    <sheetView showGridLines="0" workbookViewId="0">
      <selection activeCell="C33" sqref="C3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4217-4791-4208-9013-F2727E1FDCDC}">
  <sheetPr codeName="Hoja2">
    <tabColor rgb="FFC00000"/>
  </sheetPr>
  <dimension ref="A1:D8"/>
  <sheetViews>
    <sheetView workbookViewId="0">
      <selection activeCell="C2" sqref="C2"/>
    </sheetView>
  </sheetViews>
  <sheetFormatPr baseColWidth="10" defaultRowHeight="15" x14ac:dyDescent="0.25"/>
  <cols>
    <col min="3" max="3" width="15.85546875" customWidth="1"/>
  </cols>
  <sheetData>
    <row r="1" spans="1:4" x14ac:dyDescent="0.25">
      <c r="A1" s="2" t="s">
        <v>20</v>
      </c>
      <c r="B1" s="2" t="s">
        <v>21</v>
      </c>
      <c r="C1" s="2" t="s">
        <v>22</v>
      </c>
      <c r="D1" s="2" t="s">
        <v>28</v>
      </c>
    </row>
    <row r="2" spans="1:4" x14ac:dyDescent="0.25">
      <c r="A2" t="s">
        <v>2</v>
      </c>
      <c r="B2" t="s">
        <v>8</v>
      </c>
      <c r="C2" t="s">
        <v>23</v>
      </c>
      <c r="D2" t="s">
        <v>29</v>
      </c>
    </row>
    <row r="3" spans="1:4" x14ac:dyDescent="0.25">
      <c r="A3" t="s">
        <v>3</v>
      </c>
      <c r="B3" t="s">
        <v>9</v>
      </c>
      <c r="C3" t="s">
        <v>24</v>
      </c>
      <c r="D3" t="s">
        <v>30</v>
      </c>
    </row>
    <row r="4" spans="1:4" x14ac:dyDescent="0.25">
      <c r="A4" t="s">
        <v>4</v>
      </c>
      <c r="C4" t="s">
        <v>31</v>
      </c>
    </row>
    <row r="5" spans="1:4" x14ac:dyDescent="0.25">
      <c r="A5" t="s">
        <v>27</v>
      </c>
      <c r="C5" t="s">
        <v>13</v>
      </c>
    </row>
    <row r="6" spans="1:4" x14ac:dyDescent="0.25">
      <c r="C6" t="s">
        <v>25</v>
      </c>
    </row>
    <row r="7" spans="1:4" x14ac:dyDescent="0.25">
      <c r="C7" t="s">
        <v>19</v>
      </c>
    </row>
    <row r="8" spans="1:4" x14ac:dyDescent="0.25">
      <c r="C8" t="s">
        <v>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3B3E-C976-4CD4-BAB0-922AA47CBE5F}">
  <sheetPr codeName="Hoja3"/>
  <dimension ref="A1:B9"/>
  <sheetViews>
    <sheetView workbookViewId="0">
      <selection activeCell="B8" sqref="B8"/>
    </sheetView>
  </sheetViews>
  <sheetFormatPr baseColWidth="10" defaultRowHeight="15" x14ac:dyDescent="0.25"/>
  <cols>
    <col min="1" max="1" width="6" customWidth="1"/>
    <col min="2" max="2" width="10.28515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53</v>
      </c>
      <c r="B2" t="s">
        <v>3</v>
      </c>
    </row>
    <row r="3" spans="1:2" x14ac:dyDescent="0.25">
      <c r="A3" t="s">
        <v>54</v>
      </c>
      <c r="B3" t="s">
        <v>3</v>
      </c>
    </row>
    <row r="4" spans="1:2" x14ac:dyDescent="0.25">
      <c r="A4" t="s">
        <v>55</v>
      </c>
      <c r="B4" t="s">
        <v>3</v>
      </c>
    </row>
    <row r="5" spans="1:2" x14ac:dyDescent="0.25">
      <c r="A5" t="s">
        <v>56</v>
      </c>
      <c r="B5" t="s">
        <v>3</v>
      </c>
    </row>
    <row r="6" spans="1:2" x14ac:dyDescent="0.25">
      <c r="A6" t="s">
        <v>45</v>
      </c>
      <c r="B6" t="s">
        <v>2</v>
      </c>
    </row>
    <row r="7" spans="1:2" x14ac:dyDescent="0.25">
      <c r="A7" t="s">
        <v>50</v>
      </c>
      <c r="B7" t="s">
        <v>4</v>
      </c>
    </row>
    <row r="8" spans="1:2" x14ac:dyDescent="0.25">
      <c r="A8" t="s">
        <v>47</v>
      </c>
      <c r="B8" t="s">
        <v>27</v>
      </c>
    </row>
    <row r="9" spans="1:2" x14ac:dyDescent="0.25">
      <c r="A9" t="s">
        <v>51</v>
      </c>
      <c r="B9" t="s">
        <v>27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9C10E6-2740-4CBC-A76B-AF824CB5528D}">
          <x14:formula1>
            <xm:f>Validate!$A$2:$A$5</xm:f>
          </x14:formula1>
          <xm:sqref>B7 B8 B2:B6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8BCD-DD75-4A9A-9D48-216F336EA2C7}">
  <sheetPr codeName="Hoja4"/>
  <dimension ref="A1:E5"/>
  <sheetViews>
    <sheetView workbookViewId="0">
      <selection activeCell="B5" sqref="B5"/>
    </sheetView>
  </sheetViews>
  <sheetFormatPr baseColWidth="10" defaultRowHeight="15" x14ac:dyDescent="0.25"/>
  <cols>
    <col min="1" max="1" width="5.7109375" customWidth="1"/>
    <col min="2" max="2" width="12.42578125" customWidth="1"/>
    <col min="3" max="3" width="6.140625" customWidth="1"/>
    <col min="4" max="4" width="8" customWidth="1"/>
    <col min="5" max="5" width="23.85546875" customWidth="1"/>
    <col min="6" max="6" width="10.140625" customWidth="1"/>
    <col min="7" max="7" width="10" customWidth="1"/>
  </cols>
  <sheetData>
    <row r="1" spans="1:5" x14ac:dyDescent="0.25">
      <c r="A1" s="2" t="s">
        <v>0</v>
      </c>
      <c r="B1" s="2" t="s">
        <v>1</v>
      </c>
      <c r="C1" s="2" t="s">
        <v>6</v>
      </c>
      <c r="D1" s="2" t="s">
        <v>7</v>
      </c>
      <c r="E1" s="2" t="s">
        <v>5</v>
      </c>
    </row>
    <row r="2" spans="1:5" x14ac:dyDescent="0.25">
      <c r="A2" t="s">
        <v>37</v>
      </c>
      <c r="B2" t="s">
        <v>8</v>
      </c>
      <c r="C2" t="s">
        <v>45</v>
      </c>
      <c r="D2" t="s">
        <v>46</v>
      </c>
      <c r="E2" t="s">
        <v>41</v>
      </c>
    </row>
    <row r="3" spans="1:5" x14ac:dyDescent="0.25">
      <c r="A3" t="s">
        <v>39</v>
      </c>
      <c r="B3" t="s">
        <v>8</v>
      </c>
      <c r="C3" t="s">
        <v>49</v>
      </c>
      <c r="D3" t="s">
        <v>50</v>
      </c>
      <c r="E3" t="s">
        <v>43</v>
      </c>
    </row>
    <row r="4" spans="1:5" x14ac:dyDescent="0.25">
      <c r="A4" t="s">
        <v>40</v>
      </c>
      <c r="B4" t="s">
        <v>9</v>
      </c>
      <c r="C4" t="s">
        <v>52</v>
      </c>
      <c r="D4" t="s">
        <v>51</v>
      </c>
      <c r="E4" t="s">
        <v>44</v>
      </c>
    </row>
    <row r="5" spans="1:5" x14ac:dyDescent="0.25">
      <c r="A5" t="s">
        <v>38</v>
      </c>
      <c r="B5" t="s">
        <v>9</v>
      </c>
      <c r="C5" t="s">
        <v>48</v>
      </c>
      <c r="D5" t="s">
        <v>47</v>
      </c>
      <c r="E5" t="s">
        <v>42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B93D71-F984-42A1-BD40-BC0408ED5F68}">
          <x14:formula1>
            <xm:f>Validate!$B$2:$B$3</xm:f>
          </x14:formula1>
          <xm:sqref>B2:B4 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86D0-160D-4DBF-96DE-EB0BCE469373}">
  <sheetPr codeName="Hoja5"/>
  <dimension ref="A1:E9"/>
  <sheetViews>
    <sheetView workbookViewId="0">
      <selection activeCell="D4" sqref="D4"/>
    </sheetView>
  </sheetViews>
  <sheetFormatPr baseColWidth="10" defaultRowHeight="15" x14ac:dyDescent="0.25"/>
  <cols>
    <col min="1" max="1" width="6.42578125" customWidth="1"/>
    <col min="2" max="5" width="11.140625" customWidth="1"/>
    <col min="6" max="6" width="7.28515625" customWidth="1"/>
    <col min="7" max="7" width="6.85546875" customWidth="1"/>
  </cols>
  <sheetData>
    <row r="1" spans="1:5" x14ac:dyDescent="0.25">
      <c r="A1" t="s">
        <v>0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25">
      <c r="A2" t="str">
        <f>Flows!A2</f>
        <v>B1</v>
      </c>
      <c r="B2">
        <v>4.6589999999999998</v>
      </c>
      <c r="C2">
        <v>4.6589999999999998</v>
      </c>
      <c r="D2">
        <v>4.6589999999999998</v>
      </c>
      <c r="E2">
        <v>4.6050000000000004</v>
      </c>
    </row>
    <row r="3" spans="1:5" x14ac:dyDescent="0.25">
      <c r="A3" t="str">
        <f>Flows!A3</f>
        <v>B2</v>
      </c>
      <c r="B3">
        <v>7.593</v>
      </c>
      <c r="C3">
        <v>7.6420000000000003</v>
      </c>
      <c r="D3">
        <v>7.7720000000000002</v>
      </c>
      <c r="E3">
        <v>7.6079999999999997</v>
      </c>
    </row>
    <row r="4" spans="1:5" x14ac:dyDescent="0.25">
      <c r="A4" t="str">
        <f>Flows!A4</f>
        <v>B3</v>
      </c>
      <c r="B4">
        <v>6.14</v>
      </c>
      <c r="C4">
        <v>6.14</v>
      </c>
      <c r="D4">
        <v>6.1760000000000002</v>
      </c>
      <c r="E4">
        <v>6.14</v>
      </c>
    </row>
    <row r="5" spans="1:5" x14ac:dyDescent="0.25">
      <c r="A5" t="str">
        <f>Flows!A5</f>
        <v>B4</v>
      </c>
      <c r="B5">
        <v>5.6589999999999998</v>
      </c>
      <c r="C5">
        <v>5.6589999999999998</v>
      </c>
      <c r="D5">
        <v>5.6319999999999997</v>
      </c>
      <c r="E5">
        <v>5.6429999999999998</v>
      </c>
    </row>
    <row r="6" spans="1:5" x14ac:dyDescent="0.25">
      <c r="A6" t="str">
        <f>Flows!A6</f>
        <v>WC</v>
      </c>
      <c r="B6">
        <v>3.5</v>
      </c>
      <c r="C6">
        <v>3.734</v>
      </c>
      <c r="D6">
        <v>3.7029999999999998</v>
      </c>
      <c r="E6">
        <v>3.581</v>
      </c>
    </row>
    <row r="7" spans="1:5" x14ac:dyDescent="0.25">
      <c r="A7" t="str">
        <f>Flows!A7</f>
        <v>QCND</v>
      </c>
      <c r="B7">
        <v>0.48149999999999998</v>
      </c>
      <c r="C7">
        <v>0.48149999999999998</v>
      </c>
      <c r="D7">
        <v>0.5444</v>
      </c>
      <c r="E7">
        <v>0.49730000000000002</v>
      </c>
    </row>
    <row r="8" spans="1:5" x14ac:dyDescent="0.25">
      <c r="A8" t="str">
        <f>Flows!A8</f>
        <v>QEVP</v>
      </c>
      <c r="B8">
        <v>0.99909999999999999</v>
      </c>
      <c r="C8">
        <v>0.99909999999999999</v>
      </c>
      <c r="D8">
        <v>0.97209999999999996</v>
      </c>
      <c r="E8">
        <v>1.038</v>
      </c>
    </row>
    <row r="9" spans="1:5" x14ac:dyDescent="0.25">
      <c r="A9" t="str">
        <f>Flows!A9</f>
        <v>QEXP</v>
      </c>
      <c r="B9">
        <v>0.43519999999999998</v>
      </c>
      <c r="C9">
        <v>0.44169999999999998</v>
      </c>
      <c r="D9">
        <v>0.43180000000000002</v>
      </c>
      <c r="E9">
        <v>0.43709999999999999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7A63-C3EE-47B8-B362-70F12AC021C0}">
  <sheetPr codeName="Hoja6"/>
  <dimension ref="A1:D7"/>
  <sheetViews>
    <sheetView workbookViewId="0">
      <selection activeCell="C8" sqref="C8"/>
    </sheetView>
  </sheetViews>
  <sheetFormatPr baseColWidth="10" defaultRowHeight="15" x14ac:dyDescent="0.25"/>
  <cols>
    <col min="1" max="1" width="23.85546875" customWidth="1"/>
    <col min="2" max="2" width="6.28515625" customWidth="1"/>
    <col min="3" max="3" width="9.28515625" customWidth="1"/>
    <col min="4" max="4" width="8.28515625" customWidth="1"/>
  </cols>
  <sheetData>
    <row r="1" spans="1:4" x14ac:dyDescent="0.2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25">
      <c r="A2" s="1" t="s">
        <v>13</v>
      </c>
      <c r="B2">
        <v>10</v>
      </c>
      <c r="C2">
        <v>4</v>
      </c>
      <c r="D2" t="s">
        <v>33</v>
      </c>
    </row>
    <row r="3" spans="1:4" x14ac:dyDescent="0.25">
      <c r="A3" s="1" t="s">
        <v>14</v>
      </c>
      <c r="B3">
        <v>10</v>
      </c>
      <c r="C3">
        <v>4</v>
      </c>
      <c r="D3" t="s">
        <v>33</v>
      </c>
    </row>
    <row r="4" spans="1:4" x14ac:dyDescent="0.25">
      <c r="A4" s="1" t="s">
        <v>15</v>
      </c>
      <c r="B4">
        <v>10</v>
      </c>
      <c r="C4">
        <v>4</v>
      </c>
      <c r="D4" t="s">
        <v>34</v>
      </c>
    </row>
    <row r="5" spans="1:4" x14ac:dyDescent="0.25">
      <c r="A5" s="1" t="s">
        <v>16</v>
      </c>
      <c r="B5">
        <v>10</v>
      </c>
      <c r="C5">
        <v>2</v>
      </c>
      <c r="D5" t="s">
        <v>35</v>
      </c>
    </row>
    <row r="6" spans="1:4" x14ac:dyDescent="0.25">
      <c r="A6" s="1" t="s">
        <v>17</v>
      </c>
      <c r="B6">
        <v>10</v>
      </c>
      <c r="C6">
        <v>4</v>
      </c>
      <c r="D6" t="s">
        <v>36</v>
      </c>
    </row>
    <row r="7" spans="1:4" x14ac:dyDescent="0.25">
      <c r="A7" s="1" t="s">
        <v>18</v>
      </c>
      <c r="B7">
        <v>10</v>
      </c>
      <c r="C7">
        <v>4</v>
      </c>
      <c r="D7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73F0-482F-4C24-AF94-834D3A4AA1F7}">
  <sheetPr codeName="Hoja9"/>
  <dimension ref="A1:C3"/>
  <sheetViews>
    <sheetView tabSelected="1" workbookViewId="0">
      <selection activeCell="A3" sqref="A3"/>
    </sheetView>
  </sheetViews>
  <sheetFormatPr baseColWidth="10" defaultRowHeight="15" x14ac:dyDescent="0.25"/>
  <cols>
    <col min="1" max="1" width="5.85546875" customWidth="1"/>
    <col min="2" max="2" width="11.28515625" customWidth="1"/>
    <col min="3" max="3" width="7.42578125" customWidth="1"/>
  </cols>
  <sheetData>
    <row r="1" spans="1:3" x14ac:dyDescent="0.25">
      <c r="A1" s="2" t="s">
        <v>0</v>
      </c>
      <c r="B1" s="2" t="s">
        <v>1</v>
      </c>
      <c r="C1" s="2" t="s">
        <v>26</v>
      </c>
    </row>
    <row r="2" spans="1:3" x14ac:dyDescent="0.25">
      <c r="A2" t="s">
        <v>47</v>
      </c>
      <c r="B2" t="s">
        <v>31</v>
      </c>
      <c r="C2">
        <v>0</v>
      </c>
    </row>
    <row r="3" spans="1:3" x14ac:dyDescent="0.25">
      <c r="A3" t="s">
        <v>51</v>
      </c>
      <c r="B3" t="s">
        <v>31</v>
      </c>
      <c r="C3">
        <v>0</v>
      </c>
    </row>
  </sheetData>
  <dataValidations count="1">
    <dataValidation type="decimal" errorStyle="warning" allowBlank="1" showInputMessage="1" showErrorMessage="1" errorTitle="Waste Recycling" error="Waste recycling ratio must be between 0 and 1" sqref="C2" xr:uid="{00000000-0002-0000-0600-000000000000}">
      <formula1>0</formula1>
      <formula2>1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Waste Allocation Type" error="Invalid Waste Allocation Type" xr:uid="{00000000-0002-0000-0700-000001000000}">
          <x14:formula1>
            <xm:f>Validate!$C$2:$C$8</xm:f>
          </x14:formula1>
          <xm:sqref>B2:B3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PhysicalDiagram</vt:lpstr>
      <vt:lpstr>Validate</vt:lpstr>
      <vt:lpstr>Flows</vt:lpstr>
      <vt:lpstr>Processes</vt:lpstr>
      <vt:lpstr>Exergy</vt:lpstr>
      <vt:lpstr>Format</vt:lpstr>
      <vt:lpstr>WasteDefinition</vt:lpstr>
      <vt:lpstr>Flows!cgam_flows</vt:lpstr>
      <vt:lpstr>Processes!cgam_processes</vt:lpstr>
      <vt:lpstr>Format!tgas_fmt</vt:lpstr>
    </vt:vector>
  </TitlesOfParts>
  <Company>ENEL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Cuadra, Cesar</dc:creator>
  <cp:lastModifiedBy>César Torres Cuadra</cp:lastModifiedBy>
  <dcterms:created xsi:type="dcterms:W3CDTF">2020-06-03T07:18:00Z</dcterms:created>
  <dcterms:modified xsi:type="dcterms:W3CDTF">2026-06-15T20:03:58Z</dcterms:modified>
</cp:coreProperties>
</file>