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chloralcaly\"/>
    </mc:Choice>
  </mc:AlternateContent>
  <xr:revisionPtr revIDLastSave="0" documentId="13_ncr:1_{291509E7-5ED6-456C-B3C6-80A4886743D3}" xr6:coauthVersionLast="47" xr6:coauthVersionMax="47" xr10:uidLastSave="{00000000-0000-0000-0000-000000000000}"/>
  <bookViews>
    <workbookView xWindow="5610" yWindow="720" windowWidth="19005" windowHeight="14700" xr2:uid="{5AE74EF0-12DB-42B6-946E-1D984B03B3B1}"/>
  </bookViews>
  <sheets>
    <sheet name="Flows" sheetId="2" r:id="rId1"/>
    <sheet name="Processes" sheetId="3" r:id="rId2"/>
    <sheet name="Exergy" sheetId="4" r:id="rId3"/>
    <sheet name="Format" sheetId="6" r:id="rId4"/>
    <sheet name="ResourcesCost" sheetId="8" r:id="rId5"/>
    <sheet name="Physical Diagram" sheetId="7" r:id="rId6"/>
    <sheet name="Validate" sheetId="5" r:id="rId7"/>
    <sheet name="Table IO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C5" i="4"/>
  <c r="C4" i="4"/>
  <c r="C5" i="8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A2" i="4"/>
  <c r="A1" i="4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B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2" i="1"/>
</calcChain>
</file>

<file path=xl/sharedStrings.xml><?xml version="1.0" encoding="utf-8"?>
<sst xmlns="http://schemas.openxmlformats.org/spreadsheetml/2006/main" count="233" uniqueCount="154">
  <si>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</si>
  <si>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</si>
  <si>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</si>
  <si>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</si>
  <si>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</si>
  <si>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</si>
  <si>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</si>
  <si>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</si>
  <si>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</si>
  <si>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</si>
  <si>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</si>
  <si>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</si>
  <si>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</si>
  <si>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OUT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</si>
  <si>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</si>
  <si>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</si>
  <si>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</si>
  <si>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</si>
  <si>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</si>
  <si>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</si>
  <si>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</si>
  <si>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</si>
  <si>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</si>
  <si>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</si>
  <si>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</si>
  <si>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</si>
  <si>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</si>
  <si>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</si>
  <si>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IN</t>
  </si>
  <si>
    <t>key</t>
  </si>
  <si>
    <t>type</t>
  </si>
  <si>
    <t>P1F5</t>
  </si>
  <si>
    <t>P1F8</t>
  </si>
  <si>
    <t>P2F5</t>
  </si>
  <si>
    <t>P3F6</t>
  </si>
  <si>
    <t>P3F10</t>
  </si>
  <si>
    <t>P3F11</t>
  </si>
  <si>
    <t>P3F12</t>
  </si>
  <si>
    <t>P3F13</t>
  </si>
  <si>
    <t>P4F9</t>
  </si>
  <si>
    <t>P5F7</t>
  </si>
  <si>
    <t>P6F7</t>
  </si>
  <si>
    <t>P7F5</t>
  </si>
  <si>
    <t>P7F8</t>
  </si>
  <si>
    <t>P7F9</t>
  </si>
  <si>
    <t>P8F7</t>
  </si>
  <si>
    <t>P8F11</t>
  </si>
  <si>
    <t>P8F12</t>
  </si>
  <si>
    <t>P9F10</t>
  </si>
  <si>
    <t>P10F13</t>
  </si>
  <si>
    <t>RESOURCES</t>
  </si>
  <si>
    <t>INTERNAL</t>
  </si>
  <si>
    <t>OUTPUT</t>
  </si>
  <si>
    <t>fuel</t>
  </si>
  <si>
    <t>product</t>
  </si>
  <si>
    <t>description</t>
  </si>
  <si>
    <t>Brine Plant</t>
  </si>
  <si>
    <t>Rectifier</t>
  </si>
  <si>
    <t>Electrochemical Cells</t>
  </si>
  <si>
    <t>Denuder</t>
  </si>
  <si>
    <t>Cl2 Cooler Drier</t>
  </si>
  <si>
    <t>Cl2 Compressor</t>
  </si>
  <si>
    <t>Water Reservoir</t>
  </si>
  <si>
    <t>Salt Mine</t>
  </si>
  <si>
    <t>AC Production</t>
  </si>
  <si>
    <t>H2SO4 Production</t>
  </si>
  <si>
    <t>PRODUCTIVE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</si>
  <si>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</si>
  <si>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</si>
  <si>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</si>
  <si>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</si>
  <si>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</si>
  <si>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</si>
  <si>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</si>
  <si>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</si>
  <si>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</si>
  <si>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</si>
  <si>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</si>
  <si>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</si>
  <si>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</si>
  <si>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REF</t>
  </si>
  <si>
    <t>Flows</t>
  </si>
  <si>
    <t>Processes</t>
  </si>
  <si>
    <t>Wastes</t>
  </si>
  <si>
    <t>Resources</t>
  </si>
  <si>
    <t>RESOURCE</t>
  </si>
  <si>
    <t>DEFAULT</t>
  </si>
  <si>
    <t>FLOW</t>
  </si>
  <si>
    <t>DISSIPATIVE</t>
  </si>
  <si>
    <t>MANUAL</t>
  </si>
  <si>
    <t>PROCESS</t>
  </si>
  <si>
    <t>WASTE</t>
  </si>
  <si>
    <t>EXERGY</t>
  </si>
  <si>
    <t>COST</t>
  </si>
  <si>
    <t>IRREVERSIBILITY</t>
  </si>
  <si>
    <t>HYBRID</t>
  </si>
  <si>
    <t>width</t>
  </si>
  <si>
    <t>precision</t>
  </si>
  <si>
    <t>unit</t>
  </si>
  <si>
    <t>EXERGY_COST</t>
  </si>
  <si>
    <t>EXERGY_UNIT_COST</t>
  </si>
  <si>
    <t>GENERALIZED_COST</t>
  </si>
  <si>
    <t>GENERALIZED_UNIT_COST</t>
  </si>
  <si>
    <t>DIAGNOSIS</t>
  </si>
  <si>
    <t>(MJ)</t>
  </si>
  <si>
    <t>(MJ/MJ)</t>
  </si>
  <si>
    <t>Base</t>
  </si>
  <si>
    <t>H2O</t>
  </si>
  <si>
    <t>NaCl</t>
  </si>
  <si>
    <t>H2SO4</t>
  </si>
  <si>
    <t>NaOH</t>
  </si>
  <si>
    <t>H2</t>
  </si>
  <si>
    <t>Cl2</t>
  </si>
  <si>
    <t>RNW</t>
  </si>
  <si>
    <t>B1</t>
  </si>
  <si>
    <t>B2</t>
  </si>
  <si>
    <t>B3</t>
  </si>
  <si>
    <t>W6</t>
  </si>
  <si>
    <t>W10</t>
  </si>
  <si>
    <t>W11</t>
  </si>
  <si>
    <t>W12</t>
  </si>
  <si>
    <t>W13</t>
  </si>
  <si>
    <t>WDC</t>
  </si>
  <si>
    <t>B4</t>
  </si>
  <si>
    <t>B5</t>
  </si>
  <si>
    <t>B7</t>
  </si>
  <si>
    <t>B8</t>
  </si>
  <si>
    <t>B9</t>
  </si>
  <si>
    <t>B10</t>
  </si>
  <si>
    <t>B6</t>
  </si>
  <si>
    <t>B11</t>
  </si>
  <si>
    <t>B12</t>
  </si>
  <si>
    <t>B13</t>
  </si>
  <si>
    <t>Description</t>
  </si>
  <si>
    <t>Coal</t>
  </si>
  <si>
    <t>Salt</t>
  </si>
  <si>
    <t>Water</t>
  </si>
  <si>
    <t>Sulfur</t>
  </si>
  <si>
    <t>B1+B2</t>
  </si>
  <si>
    <t>W6+W10+W11+W12+W13</t>
  </si>
  <si>
    <t>B1+B3+B6</t>
  </si>
  <si>
    <t>B6+B7+B8</t>
  </si>
  <si>
    <t>B9+B5+WDC</t>
  </si>
  <si>
    <t>B2+B7</t>
  </si>
  <si>
    <t>B9+B10+B11</t>
  </si>
  <si>
    <t>B8+(B4-H2SO4)</t>
  </si>
  <si>
    <t>W10+B12</t>
  </si>
  <si>
    <t>W11+B10</t>
  </si>
  <si>
    <t>W12+B11</t>
  </si>
  <si>
    <t>W13+B13</t>
  </si>
  <si>
    <t>Cooler NaOH</t>
  </si>
  <si>
    <t>Cooler Drier H2</t>
  </si>
  <si>
    <t>Cooler Cl2</t>
  </si>
  <si>
    <t>SLF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</si>
</sst>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114301</xdr:colOff>
      <xdr:row>0</xdr:row>
      <xdr:rowOff>47628</xdr:rowOff>
    </xdr:from>
    <xdr:to>
      <xdr:col>6</xdr:col>
      <xdr:colOff>234900</xdr:colOff>
      <xdr:row>35</xdr:row>
      <xdr:rowOff>28576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036A14F-73D7-C0FA-E314-DD29499D4D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47628"/>
          <a:ext cx="4692599" cy="66484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73E8D-1175-4F06-A6A7-99D763BBF51D}">
  <dimension ref="A1:C28"/>
  <sheetViews>
    <sheetView tabSelected="1" workbookViewId="0">
      <selection activeCell="A21" sqref="A21"/>
    </sheetView>
  </sheetViews>
  <sheetFormatPr baseColWidth="10" defaultRowHeight="15" x14ac:dyDescent="0.25"/>
  <sheetData>
    <row r="1" spans="1:3" x14ac:dyDescent="0.25">
      <c r="A1" t="s">
        <v>29</v>
      </c>
      <c r="B1" t="s">
        <v>30</v>
      </c>
      <c r="C1" t="s">
        <v>133</v>
      </c>
    </row>
    <row r="2" spans="1:3" x14ac:dyDescent="0.25">
      <c r="A2" t="s">
        <v>107</v>
      </c>
      <c r="B2" t="s">
        <v>85</v>
      </c>
      <c r="C2" t="s">
        <v>136</v>
      </c>
    </row>
    <row r="3" spans="1:3" x14ac:dyDescent="0.25">
      <c r="A3" t="s">
        <v>108</v>
      </c>
      <c r="B3" t="s">
        <v>85</v>
      </c>
      <c r="C3" t="s">
        <v>135</v>
      </c>
    </row>
    <row r="4" spans="1:3" x14ac:dyDescent="0.25">
      <c r="A4" t="s">
        <v>134</v>
      </c>
      <c r="B4" t="s">
        <v>85</v>
      </c>
      <c r="C4" t="s">
        <v>134</v>
      </c>
    </row>
    <row r="5" spans="1:3" x14ac:dyDescent="0.25">
      <c r="A5" t="s">
        <v>153</v>
      </c>
      <c r="B5" t="s">
        <v>85</v>
      </c>
      <c r="C5" t="s">
        <v>137</v>
      </c>
    </row>
    <row r="6" spans="1:3" x14ac:dyDescent="0.25">
      <c r="A6" t="s">
        <v>114</v>
      </c>
      <c r="B6" t="s">
        <v>51</v>
      </c>
      <c r="C6" t="s">
        <v>31</v>
      </c>
    </row>
    <row r="7" spans="1:3" x14ac:dyDescent="0.25">
      <c r="A7" t="s">
        <v>115</v>
      </c>
      <c r="B7" t="s">
        <v>51</v>
      </c>
      <c r="C7" t="s">
        <v>32</v>
      </c>
    </row>
    <row r="8" spans="1:3" x14ac:dyDescent="0.25">
      <c r="A8" t="s">
        <v>116</v>
      </c>
      <c r="B8" t="s">
        <v>51</v>
      </c>
      <c r="C8" t="s">
        <v>33</v>
      </c>
    </row>
    <row r="9" spans="1:3" x14ac:dyDescent="0.25">
      <c r="A9" t="s">
        <v>117</v>
      </c>
      <c r="B9" t="s">
        <v>51</v>
      </c>
      <c r="C9" t="s">
        <v>34</v>
      </c>
    </row>
    <row r="10" spans="1:3" x14ac:dyDescent="0.25">
      <c r="A10" t="s">
        <v>118</v>
      </c>
      <c r="B10" t="s">
        <v>51</v>
      </c>
      <c r="C10" t="s">
        <v>35</v>
      </c>
    </row>
    <row r="11" spans="1:3" x14ac:dyDescent="0.25">
      <c r="A11" t="s">
        <v>119</v>
      </c>
      <c r="B11" t="s">
        <v>51</v>
      </c>
      <c r="C11" t="s">
        <v>36</v>
      </c>
    </row>
    <row r="12" spans="1:3" x14ac:dyDescent="0.25">
      <c r="A12" t="s">
        <v>120</v>
      </c>
      <c r="B12" t="s">
        <v>51</v>
      </c>
      <c r="C12" t="s">
        <v>37</v>
      </c>
    </row>
    <row r="13" spans="1:3" x14ac:dyDescent="0.25">
      <c r="A13" t="s">
        <v>121</v>
      </c>
      <c r="B13" t="s">
        <v>51</v>
      </c>
      <c r="C13" t="s">
        <v>38</v>
      </c>
    </row>
    <row r="14" spans="1:3" x14ac:dyDescent="0.25">
      <c r="A14" t="s">
        <v>123</v>
      </c>
      <c r="B14" t="s">
        <v>51</v>
      </c>
      <c r="C14" t="s">
        <v>39</v>
      </c>
    </row>
    <row r="15" spans="1:3" x14ac:dyDescent="0.25">
      <c r="A15" t="s">
        <v>124</v>
      </c>
      <c r="B15" t="s">
        <v>51</v>
      </c>
      <c r="C15" t="s">
        <v>40</v>
      </c>
    </row>
    <row r="16" spans="1:3" x14ac:dyDescent="0.25">
      <c r="A16" t="s">
        <v>122</v>
      </c>
      <c r="B16" t="s">
        <v>51</v>
      </c>
      <c r="C16" t="s">
        <v>41</v>
      </c>
    </row>
    <row r="17" spans="1:3" x14ac:dyDescent="0.25">
      <c r="A17" t="s">
        <v>129</v>
      </c>
      <c r="B17" t="s">
        <v>51</v>
      </c>
      <c r="C17" t="s">
        <v>42</v>
      </c>
    </row>
    <row r="18" spans="1:3" x14ac:dyDescent="0.25">
      <c r="A18" t="s">
        <v>125</v>
      </c>
      <c r="B18" t="s">
        <v>51</v>
      </c>
      <c r="C18" t="s">
        <v>43</v>
      </c>
    </row>
    <row r="19" spans="1:3" x14ac:dyDescent="0.25">
      <c r="A19" t="s">
        <v>126</v>
      </c>
      <c r="B19" t="s">
        <v>51</v>
      </c>
      <c r="C19" t="s">
        <v>44</v>
      </c>
    </row>
    <row r="20" spans="1:3" x14ac:dyDescent="0.25">
      <c r="A20" t="s">
        <v>127</v>
      </c>
      <c r="B20" t="s">
        <v>51</v>
      </c>
      <c r="C20" t="s">
        <v>45</v>
      </c>
    </row>
    <row r="21" spans="1:3" x14ac:dyDescent="0.25">
      <c r="A21" t="s">
        <v>128</v>
      </c>
      <c r="B21" t="s">
        <v>51</v>
      </c>
      <c r="C21" t="s">
        <v>46</v>
      </c>
    </row>
    <row r="22" spans="1:3" x14ac:dyDescent="0.25">
      <c r="A22" t="s">
        <v>130</v>
      </c>
      <c r="B22" t="s">
        <v>51</v>
      </c>
      <c r="C22" t="s">
        <v>47</v>
      </c>
    </row>
    <row r="23" spans="1:3" x14ac:dyDescent="0.25">
      <c r="A23" t="s">
        <v>131</v>
      </c>
      <c r="B23" t="s">
        <v>51</v>
      </c>
      <c r="C23" t="s">
        <v>48</v>
      </c>
    </row>
    <row r="24" spans="1:3" x14ac:dyDescent="0.25">
      <c r="A24" t="s">
        <v>132</v>
      </c>
      <c r="B24" t="s">
        <v>51</v>
      </c>
      <c r="C24" t="s">
        <v>49</v>
      </c>
    </row>
    <row r="25" spans="1:3" x14ac:dyDescent="0.25">
      <c r="A25" t="s">
        <v>109</v>
      </c>
      <c r="B25" t="s">
        <v>52</v>
      </c>
      <c r="C25" t="s">
        <v>109</v>
      </c>
    </row>
    <row r="26" spans="1:3" x14ac:dyDescent="0.25">
      <c r="A26" t="s">
        <v>110</v>
      </c>
      <c r="B26" t="s">
        <v>52</v>
      </c>
      <c r="C26" t="s">
        <v>110</v>
      </c>
    </row>
    <row r="27" spans="1:3" x14ac:dyDescent="0.25">
      <c r="A27" t="s">
        <v>111</v>
      </c>
      <c r="B27" t="s">
        <v>52</v>
      </c>
      <c r="C27" t="s">
        <v>111</v>
      </c>
    </row>
    <row r="28" spans="1:3" x14ac:dyDescent="0.25">
      <c r="A28" t="s">
        <v>112</v>
      </c>
      <c r="B28" t="s">
        <v>52</v>
      </c>
      <c r="C28" t="s">
        <v>112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912FC3-ED37-47B4-8DA3-903CEC9B3A6A}">
          <x14:formula1>
            <xm:f>Validate!$A$2:$A$5</xm:f>
          </x14:formula1>
          <xm:sqref>B2:B28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EDF-B161-4D98-AE1E-A5A497C9169D}">
  <dimension ref="A1:E14"/>
  <sheetViews>
    <sheetView workbookViewId="0">
      <selection activeCell="C6" sqref="C6"/>
    </sheetView>
  </sheetViews>
  <sheetFormatPr baseColWidth="10" defaultRowHeight="15" x14ac:dyDescent="0.25"/>
  <cols>
    <col min="1" max="1" width="7.85546875" customWidth="1"/>
    <col min="2" max="2" width="13.5703125" customWidth="1"/>
    <col min="3" max="3" width="19.140625" customWidth="1"/>
    <col min="4" max="4" width="23.42578125" customWidth="1"/>
    <col min="5" max="5" width="21.42578125" customWidth="1"/>
  </cols>
  <sheetData>
    <row r="1" spans="1:5" x14ac:dyDescent="0.25">
      <c r="A1" t="s">
        <v>29</v>
      </c>
      <c r="B1" t="s">
        <v>30</v>
      </c>
      <c r="C1" t="s">
        <v>53</v>
      </c>
      <c r="D1" t="s">
        <v>54</v>
      </c>
      <c r="E1" t="s">
        <v>55</v>
      </c>
    </row>
    <row r="2" spans="1:5" x14ac:dyDescent="0.25">
      <c r="A2" t="s">
        <v>67</v>
      </c>
      <c r="B2" t="s">
        <v>66</v>
      </c>
      <c r="C2" t="s">
        <v>107</v>
      </c>
      <c r="D2" t="s">
        <v>138</v>
      </c>
      <c r="E2" t="s">
        <v>62</v>
      </c>
    </row>
    <row r="3" spans="1:5" x14ac:dyDescent="0.25">
      <c r="A3" t="s">
        <v>68</v>
      </c>
      <c r="B3" t="s">
        <v>66</v>
      </c>
      <c r="C3" t="s">
        <v>108</v>
      </c>
      <c r="D3" t="s">
        <v>116</v>
      </c>
      <c r="E3" t="s">
        <v>63</v>
      </c>
    </row>
    <row r="4" spans="1:5" x14ac:dyDescent="0.25">
      <c r="A4" t="s">
        <v>69</v>
      </c>
      <c r="B4" t="s">
        <v>66</v>
      </c>
      <c r="C4" t="s">
        <v>134</v>
      </c>
      <c r="D4" t="s">
        <v>139</v>
      </c>
      <c r="E4" t="s">
        <v>64</v>
      </c>
    </row>
    <row r="5" spans="1:5" x14ac:dyDescent="0.25">
      <c r="A5" t="s">
        <v>70</v>
      </c>
      <c r="B5" t="s">
        <v>66</v>
      </c>
      <c r="C5" t="s">
        <v>153</v>
      </c>
      <c r="D5" t="s">
        <v>123</v>
      </c>
      <c r="E5" t="s">
        <v>65</v>
      </c>
    </row>
    <row r="6" spans="1:5" x14ac:dyDescent="0.25">
      <c r="A6" t="s">
        <v>71</v>
      </c>
      <c r="B6" t="s">
        <v>66</v>
      </c>
      <c r="C6" t="s">
        <v>140</v>
      </c>
      <c r="D6" t="s">
        <v>124</v>
      </c>
      <c r="E6" t="s">
        <v>56</v>
      </c>
    </row>
    <row r="7" spans="1:5" x14ac:dyDescent="0.25">
      <c r="A7" t="s">
        <v>72</v>
      </c>
      <c r="B7" t="s">
        <v>66</v>
      </c>
      <c r="C7" t="s">
        <v>117</v>
      </c>
      <c r="D7" t="s">
        <v>122</v>
      </c>
      <c r="E7" t="s">
        <v>57</v>
      </c>
    </row>
    <row r="8" spans="1:5" x14ac:dyDescent="0.25">
      <c r="A8" t="s">
        <v>73</v>
      </c>
      <c r="B8" t="s">
        <v>66</v>
      </c>
      <c r="C8" t="s">
        <v>142</v>
      </c>
      <c r="D8" t="s">
        <v>141</v>
      </c>
      <c r="E8" t="s">
        <v>58</v>
      </c>
    </row>
    <row r="9" spans="1:5" x14ac:dyDescent="0.25">
      <c r="A9" t="s">
        <v>74</v>
      </c>
      <c r="B9" t="s">
        <v>66</v>
      </c>
      <c r="C9" t="s">
        <v>143</v>
      </c>
      <c r="D9" t="s">
        <v>144</v>
      </c>
      <c r="E9" t="s">
        <v>59</v>
      </c>
    </row>
    <row r="10" spans="1:5" x14ac:dyDescent="0.25">
      <c r="A10" t="s">
        <v>75</v>
      </c>
      <c r="B10" t="s">
        <v>66</v>
      </c>
      <c r="C10" t="s">
        <v>145</v>
      </c>
      <c r="D10" t="s">
        <v>131</v>
      </c>
      <c r="E10" t="s">
        <v>60</v>
      </c>
    </row>
    <row r="11" spans="1:5" x14ac:dyDescent="0.25">
      <c r="A11" t="s">
        <v>76</v>
      </c>
      <c r="B11" t="s">
        <v>66</v>
      </c>
      <c r="C11" t="s">
        <v>146</v>
      </c>
      <c r="D11" t="s">
        <v>132</v>
      </c>
      <c r="E11" t="s">
        <v>61</v>
      </c>
    </row>
    <row r="12" spans="1:5" x14ac:dyDescent="0.25">
      <c r="A12" t="s">
        <v>77</v>
      </c>
      <c r="B12" t="s">
        <v>66</v>
      </c>
      <c r="C12" t="s">
        <v>147</v>
      </c>
      <c r="D12" t="s">
        <v>110</v>
      </c>
      <c r="E12" t="s">
        <v>150</v>
      </c>
    </row>
    <row r="13" spans="1:5" x14ac:dyDescent="0.25">
      <c r="A13" t="s">
        <v>78</v>
      </c>
      <c r="B13" t="s">
        <v>66</v>
      </c>
      <c r="C13" t="s">
        <v>148</v>
      </c>
      <c r="D13" t="s">
        <v>111</v>
      </c>
      <c r="E13" t="s">
        <v>151</v>
      </c>
    </row>
    <row r="14" spans="1:5" x14ac:dyDescent="0.25">
      <c r="A14" t="s">
        <v>79</v>
      </c>
      <c r="B14" t="s">
        <v>66</v>
      </c>
      <c r="C14" t="s">
        <v>149</v>
      </c>
      <c r="D14" t="s">
        <v>112</v>
      </c>
      <c r="E14" t="s">
        <v>152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E3F6C-1997-4FCE-9977-215400FD41AC}">
  <dimension ref="A1:C28"/>
  <sheetViews>
    <sheetView workbookViewId="0">
      <selection activeCell="A2" sqref="A2:A28"/>
    </sheetView>
  </sheetViews>
  <sheetFormatPr baseColWidth="10" defaultRowHeight="15" x14ac:dyDescent="0.25"/>
  <sheetData>
    <row r="1" spans="1:3" x14ac:dyDescent="0.25">
      <c r="A1" t="str">
        <f>Flows!A1</f>
        <v>key</v>
      </c>
      <c r="B1" t="s">
        <v>80</v>
      </c>
      <c r="C1" t="s">
        <v>113</v>
      </c>
    </row>
    <row r="2" spans="1:3" x14ac:dyDescent="0.25">
      <c r="A2" t="str">
        <f>Flows!A2</f>
        <v>H2O</v>
      </c>
      <c r="B2">
        <v>9.8000000000000004E-2</v>
      </c>
      <c r="C2">
        <v>9.8000000000000004E-2</v>
      </c>
    </row>
    <row r="3" spans="1:3" x14ac:dyDescent="0.25">
      <c r="A3" t="str">
        <f>Flows!A3</f>
        <v>NaCl</v>
      </c>
      <c r="B3">
        <v>3.08</v>
      </c>
      <c r="C3">
        <v>3.08</v>
      </c>
    </row>
    <row r="4" spans="1:3" x14ac:dyDescent="0.25">
      <c r="A4" t="str">
        <f>Flows!A4</f>
        <v>Coal</v>
      </c>
      <c r="B4">
        <f>'Table IO'!D15</f>
        <v>60.31</v>
      </c>
      <c r="C4">
        <f>15.204</f>
        <v>15.204000000000001</v>
      </c>
    </row>
    <row r="5" spans="1:3" x14ac:dyDescent="0.25">
      <c r="A5" t="str">
        <f>Flows!A5</f>
        <v>SLF</v>
      </c>
      <c r="B5">
        <f>'Table IO'!E15</f>
        <v>3.19</v>
      </c>
      <c r="C5">
        <f>15.2</f>
        <v>15.2</v>
      </c>
    </row>
    <row r="6" spans="1:3" x14ac:dyDescent="0.25">
      <c r="A6" t="str">
        <f>Flows!A6</f>
        <v>B1</v>
      </c>
      <c r="B6">
        <f>'Table IO'!F2</f>
        <v>8.0000000000000002E-3</v>
      </c>
      <c r="C6">
        <v>8.0000000000000002E-3</v>
      </c>
    </row>
    <row r="7" spans="1:3" x14ac:dyDescent="0.25">
      <c r="A7" t="str">
        <f>Flows!A7</f>
        <v>B2</v>
      </c>
      <c r="B7">
        <f>'Table IO'!I2</f>
        <v>0.09</v>
      </c>
      <c r="C7">
        <v>0.09</v>
      </c>
    </row>
    <row r="8" spans="1:3" x14ac:dyDescent="0.25">
      <c r="A8" t="str">
        <f>Flows!A8</f>
        <v>B3</v>
      </c>
      <c r="B8">
        <f>'Table IO'!F3</f>
        <v>0.4</v>
      </c>
      <c r="C8">
        <v>0.4</v>
      </c>
    </row>
    <row r="9" spans="1:3" x14ac:dyDescent="0.25">
      <c r="A9" t="str">
        <f>Flows!A9</f>
        <v>W6</v>
      </c>
      <c r="B9">
        <f>'Table IO'!G4</f>
        <v>13.22</v>
      </c>
      <c r="C9">
        <v>13.22</v>
      </c>
    </row>
    <row r="10" spans="1:3" x14ac:dyDescent="0.25">
      <c r="A10" t="str">
        <f>Flows!A10</f>
        <v>W10</v>
      </c>
      <c r="B10">
        <f>'Table IO'!K4</f>
        <v>0.24</v>
      </c>
      <c r="C10">
        <v>0.24</v>
      </c>
    </row>
    <row r="11" spans="1:3" x14ac:dyDescent="0.25">
      <c r="A11" t="str">
        <f>Flows!A11</f>
        <v>W11</v>
      </c>
      <c r="B11">
        <f>'Table IO'!L4</f>
        <v>0.23</v>
      </c>
      <c r="C11">
        <v>0.23</v>
      </c>
    </row>
    <row r="12" spans="1:3" x14ac:dyDescent="0.25">
      <c r="A12" t="str">
        <f>Flows!A12</f>
        <v>W12</v>
      </c>
      <c r="B12">
        <f>'Table IO'!M4</f>
        <v>0.5</v>
      </c>
      <c r="C12">
        <v>0.5</v>
      </c>
    </row>
    <row r="13" spans="1:3" x14ac:dyDescent="0.25">
      <c r="A13" t="str">
        <f>Flows!A13</f>
        <v>W13</v>
      </c>
      <c r="B13">
        <f>'Table IO'!N4</f>
        <v>0.28000000000000003</v>
      </c>
      <c r="C13">
        <v>0.28000000000000003</v>
      </c>
    </row>
    <row r="14" spans="1:3" x14ac:dyDescent="0.25">
      <c r="A14" t="str">
        <f>Flows!A14</f>
        <v>B4</v>
      </c>
      <c r="B14">
        <f>'Table IO'!J5</f>
        <v>0.57999999999999996</v>
      </c>
      <c r="C14">
        <v>0.57999999999999996</v>
      </c>
    </row>
    <row r="15" spans="1:3" x14ac:dyDescent="0.25">
      <c r="A15" t="str">
        <f>Flows!A15</f>
        <v>B5</v>
      </c>
      <c r="B15">
        <f>'Table IO'!H6</f>
        <v>3.24</v>
      </c>
      <c r="C15">
        <v>3.24</v>
      </c>
    </row>
    <row r="16" spans="1:3" x14ac:dyDescent="0.25">
      <c r="A16" t="str">
        <f>Flows!A16</f>
        <v>WDC</v>
      </c>
      <c r="B16">
        <f>'Table IO'!H7</f>
        <v>12.79</v>
      </c>
      <c r="C16">
        <v>12.79</v>
      </c>
    </row>
    <row r="17" spans="1:3" x14ac:dyDescent="0.25">
      <c r="A17" t="str">
        <f>Flows!A17</f>
        <v>B6</v>
      </c>
      <c r="B17">
        <f>'Table IO'!F8</f>
        <v>3.24</v>
      </c>
      <c r="C17">
        <v>3.24</v>
      </c>
    </row>
    <row r="18" spans="1:3" x14ac:dyDescent="0.25">
      <c r="A18" t="str">
        <f>Flows!A18</f>
        <v>B7</v>
      </c>
      <c r="B18">
        <f>'Table IO'!I8</f>
        <v>7.86</v>
      </c>
      <c r="C18">
        <v>7.86</v>
      </c>
    </row>
    <row r="19" spans="1:3" x14ac:dyDescent="0.25">
      <c r="A19" t="str">
        <f>Flows!A19</f>
        <v>B8</v>
      </c>
      <c r="B19">
        <f>'Table IO'!J8</f>
        <v>1.78</v>
      </c>
      <c r="C19">
        <v>1.78</v>
      </c>
    </row>
    <row r="20" spans="1:3" x14ac:dyDescent="0.25">
      <c r="A20" t="str">
        <f>Flows!A20</f>
        <v>B9</v>
      </c>
      <c r="B20">
        <f>'Table IO'!H9</f>
        <v>1.1399999999999999</v>
      </c>
      <c r="C20">
        <v>1.1399999999999999</v>
      </c>
    </row>
    <row r="21" spans="1:3" x14ac:dyDescent="0.25">
      <c r="A21" t="str">
        <f>Flows!A21</f>
        <v>B10</v>
      </c>
      <c r="B21">
        <f>'Table IO'!L9</f>
        <v>1.53</v>
      </c>
      <c r="C21">
        <v>1.53</v>
      </c>
    </row>
    <row r="22" spans="1:3" x14ac:dyDescent="0.25">
      <c r="A22" t="str">
        <f>Flows!A22</f>
        <v>B11</v>
      </c>
      <c r="B22">
        <f>'Table IO'!M9</f>
        <v>3.35</v>
      </c>
      <c r="C22">
        <v>3.35</v>
      </c>
    </row>
    <row r="23" spans="1:3" x14ac:dyDescent="0.25">
      <c r="A23" t="str">
        <f>Flows!A23</f>
        <v>B12</v>
      </c>
      <c r="B23">
        <f>'Table IO'!K10</f>
        <v>1.74</v>
      </c>
      <c r="C23">
        <v>1.74</v>
      </c>
    </row>
    <row r="24" spans="1:3" x14ac:dyDescent="0.25">
      <c r="A24" t="str">
        <f>Flows!A24</f>
        <v>B13</v>
      </c>
      <c r="B24">
        <f>'Table IO'!N11</f>
        <v>1.8120000000000001</v>
      </c>
      <c r="C24">
        <v>1.8120000000000001</v>
      </c>
    </row>
    <row r="25" spans="1:3" x14ac:dyDescent="0.25">
      <c r="A25" t="str">
        <f>Flows!A25</f>
        <v>H2SO4</v>
      </c>
      <c r="B25">
        <f>'Table IO'!O10</f>
        <v>0.42</v>
      </c>
      <c r="C25">
        <v>0.42</v>
      </c>
    </row>
    <row r="26" spans="1:3" x14ac:dyDescent="0.25">
      <c r="A26" t="str">
        <f>Flows!A26</f>
        <v>NaOH</v>
      </c>
      <c r="B26">
        <f>'Table IO'!O12</f>
        <v>1.4550000000000001</v>
      </c>
      <c r="C26">
        <v>1.4550000000000001</v>
      </c>
    </row>
    <row r="27" spans="1:3" x14ac:dyDescent="0.25">
      <c r="A27" t="str">
        <f>Flows!A27</f>
        <v>H2</v>
      </c>
      <c r="B27">
        <f>'Table IO'!O13</f>
        <v>3.3050000000000002</v>
      </c>
      <c r="C27">
        <v>3.3050000000000002</v>
      </c>
    </row>
    <row r="28" spans="1:3" x14ac:dyDescent="0.25">
      <c r="A28" t="str">
        <f>Flows!A28</f>
        <v>Cl2</v>
      </c>
      <c r="B28">
        <f>'Table IO'!O14</f>
        <v>1.8120000000000001</v>
      </c>
      <c r="C28">
        <v>1.8120000000000001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78143-8BC1-472E-AAE4-5F1117210E3A}">
  <dimension ref="A1:D7"/>
  <sheetViews>
    <sheetView workbookViewId="0">
      <selection activeCell="G25" sqref="G25"/>
    </sheetView>
  </sheetViews>
  <sheetFormatPr baseColWidth="10" defaultRowHeight="15" x14ac:dyDescent="0.25"/>
  <cols>
    <col min="1" max="1" width="27.140625" customWidth="1"/>
  </cols>
  <sheetData>
    <row r="1" spans="1:4" x14ac:dyDescent="0.25">
      <c r="A1" s="2" t="s">
        <v>29</v>
      </c>
      <c r="B1" s="2" t="s">
        <v>96</v>
      </c>
      <c r="C1" s="2" t="s">
        <v>97</v>
      </c>
      <c r="D1" s="2" t="s">
        <v>98</v>
      </c>
    </row>
    <row r="2" spans="1:4" x14ac:dyDescent="0.25">
      <c r="A2" s="2" t="s">
        <v>92</v>
      </c>
      <c r="B2">
        <v>10</v>
      </c>
      <c r="C2">
        <v>2</v>
      </c>
      <c r="D2" t="s">
        <v>104</v>
      </c>
    </row>
    <row r="3" spans="1:4" x14ac:dyDescent="0.25">
      <c r="A3" s="2" t="s">
        <v>99</v>
      </c>
      <c r="B3">
        <v>10</v>
      </c>
      <c r="C3">
        <v>2</v>
      </c>
      <c r="D3" t="s">
        <v>104</v>
      </c>
    </row>
    <row r="4" spans="1:4" x14ac:dyDescent="0.25">
      <c r="A4" s="2" t="s">
        <v>100</v>
      </c>
      <c r="B4">
        <v>10</v>
      </c>
      <c r="C4">
        <v>4</v>
      </c>
      <c r="D4" t="s">
        <v>105</v>
      </c>
    </row>
    <row r="5" spans="1:4" x14ac:dyDescent="0.25">
      <c r="A5" s="2" t="s">
        <v>101</v>
      </c>
      <c r="B5">
        <v>10</v>
      </c>
      <c r="C5">
        <v>2</v>
      </c>
      <c r="D5" t="s">
        <v>104</v>
      </c>
    </row>
    <row r="6" spans="1:4" x14ac:dyDescent="0.25">
      <c r="A6" s="2" t="s">
        <v>102</v>
      </c>
      <c r="B6">
        <v>10</v>
      </c>
      <c r="C6">
        <v>4</v>
      </c>
      <c r="D6" t="s">
        <v>105</v>
      </c>
    </row>
    <row r="7" spans="1:4" x14ac:dyDescent="0.25">
      <c r="A7" s="2" t="s">
        <v>103</v>
      </c>
      <c r="B7">
        <v>10</v>
      </c>
      <c r="C7">
        <v>3</v>
      </c>
      <c r="D7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3BF7F-3357-485A-8DA7-833D89C4A90C}">
  <dimension ref="A1:D5"/>
  <sheetViews>
    <sheetView workbookViewId="0">
      <selection activeCell="A3" sqref="A3"/>
    </sheetView>
  </sheetViews>
  <sheetFormatPr baseColWidth="10" defaultRowHeight="15" x14ac:dyDescent="0.25"/>
  <sheetData>
    <row r="1" spans="1:4" x14ac:dyDescent="0.25">
      <c r="A1" t="s">
        <v>29</v>
      </c>
      <c r="B1" t="s">
        <v>30</v>
      </c>
      <c r="C1" t="s">
        <v>106</v>
      </c>
      <c r="D1" t="s">
        <v>113</v>
      </c>
    </row>
    <row r="2" spans="1:4" x14ac:dyDescent="0.25">
      <c r="A2" t="s">
        <v>107</v>
      </c>
      <c r="B2" t="s">
        <v>87</v>
      </c>
      <c r="C2">
        <v>2.653</v>
      </c>
      <c r="D2">
        <v>2.653</v>
      </c>
    </row>
    <row r="3" spans="1:4" x14ac:dyDescent="0.25">
      <c r="A3" t="s">
        <v>108</v>
      </c>
      <c r="B3" t="s">
        <v>87</v>
      </c>
      <c r="C3">
        <v>1</v>
      </c>
      <c r="D3">
        <v>1</v>
      </c>
    </row>
    <row r="4" spans="1:4" x14ac:dyDescent="0.25">
      <c r="A4" t="s">
        <v>134</v>
      </c>
      <c r="B4" t="s">
        <v>87</v>
      </c>
      <c r="C4">
        <v>4</v>
      </c>
      <c r="D4">
        <v>1.17</v>
      </c>
    </row>
    <row r="5" spans="1:4" x14ac:dyDescent="0.25">
      <c r="A5" t="s">
        <v>153</v>
      </c>
      <c r="B5" t="s">
        <v>87</v>
      </c>
      <c r="C5">
        <f>6.38/3.19</f>
        <v>2</v>
      </c>
      <c r="D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5BC8EC-14DB-42D9-9B94-BEDB5CAF19E3}">
          <x14:formula1>
            <xm:f>Validate!$D$2:$D$3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D923-3B74-48FD-9B04-60F5F99C79A1}">
  <dimension ref="A1"/>
  <sheetViews>
    <sheetView showGridLines="0" showRowColHeaders="0" workbookViewId="0">
      <selection activeCell="I12" sqref="I1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FBDD5-0809-41DA-8AFA-5FA8615DF596}">
  <dimension ref="A1:D8"/>
  <sheetViews>
    <sheetView workbookViewId="0">
      <selection activeCell="H30" sqref="H30"/>
    </sheetView>
  </sheetViews>
  <sheetFormatPr baseColWidth="10" defaultRowHeight="15" x14ac:dyDescent="0.25"/>
  <sheetData>
    <row r="1" spans="1:4" x14ac:dyDescent="0.25">
      <c r="A1" s="1" t="s">
        <v>81</v>
      </c>
      <c r="B1" s="1" t="s">
        <v>82</v>
      </c>
      <c r="C1" s="1" t="s">
        <v>83</v>
      </c>
      <c r="D1" s="1" t="s">
        <v>84</v>
      </c>
    </row>
    <row r="2" spans="1:4" x14ac:dyDescent="0.25">
      <c r="A2" t="s">
        <v>85</v>
      </c>
      <c r="B2" t="s">
        <v>66</v>
      </c>
      <c r="C2" t="s">
        <v>86</v>
      </c>
      <c r="D2" t="s">
        <v>87</v>
      </c>
    </row>
    <row r="3" spans="1:4" x14ac:dyDescent="0.25">
      <c r="A3" t="s">
        <v>51</v>
      </c>
      <c r="B3" t="s">
        <v>88</v>
      </c>
      <c r="C3" t="s">
        <v>89</v>
      </c>
      <c r="D3" t="s">
        <v>90</v>
      </c>
    </row>
    <row r="4" spans="1:4" x14ac:dyDescent="0.25">
      <c r="A4" t="s">
        <v>52</v>
      </c>
      <c r="C4" t="s">
        <v>50</v>
      </c>
    </row>
    <row r="5" spans="1:4" x14ac:dyDescent="0.25">
      <c r="A5" t="s">
        <v>91</v>
      </c>
      <c r="C5" t="s">
        <v>92</v>
      </c>
    </row>
    <row r="6" spans="1:4" x14ac:dyDescent="0.25">
      <c r="C6" t="s">
        <v>93</v>
      </c>
    </row>
    <row r="7" spans="1:4" x14ac:dyDescent="0.25">
      <c r="C7" t="s">
        <v>94</v>
      </c>
    </row>
    <row r="8" spans="1:4" x14ac:dyDescent="0.25">
      <c r="C8" t="s">
        <v>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DC618-4972-446A-8B6F-B223FE2B76FD}">
  <dimension ref="A1:P16"/>
  <sheetViews>
    <sheetView workbookViewId="0">
      <selection activeCell="O14" sqref="O14"/>
    </sheetView>
  </sheetViews>
  <sheetFormatPr baseColWidth="10" defaultRowHeight="15" x14ac:dyDescent="0.25"/>
  <sheetData>
    <row r="1" spans="1:16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25">
      <c r="A2" t="s">
        <v>15</v>
      </c>
      <c r="B2">
        <v>0</v>
      </c>
      <c r="C2">
        <v>0</v>
      </c>
      <c r="D2">
        <v>0</v>
      </c>
      <c r="E2">
        <v>0</v>
      </c>
      <c r="F2">
        <v>8.0000000000000002E-3</v>
      </c>
      <c r="G2">
        <v>0</v>
      </c>
      <c r="H2">
        <v>0</v>
      </c>
      <c r="I2">
        <v>0.09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f>SUM(B2:O2)</f>
        <v>9.8000000000000004E-2</v>
      </c>
    </row>
    <row r="3" spans="1:16" x14ac:dyDescent="0.25">
      <c r="A3" t="s">
        <v>16</v>
      </c>
      <c r="B3">
        <v>0</v>
      </c>
      <c r="C3">
        <v>0</v>
      </c>
      <c r="D3">
        <v>0</v>
      </c>
      <c r="E3">
        <v>0</v>
      </c>
      <c r="F3">
        <v>0.4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15" si="0">SUM(B3:O3)</f>
        <v>0.4</v>
      </c>
    </row>
    <row r="4" spans="1:16" x14ac:dyDescent="0.25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13.22</v>
      </c>
      <c r="H4">
        <v>0</v>
      </c>
      <c r="I4">
        <v>0</v>
      </c>
      <c r="J4">
        <v>0</v>
      </c>
      <c r="K4">
        <v>0.24</v>
      </c>
      <c r="L4">
        <v>0.23</v>
      </c>
      <c r="M4">
        <v>0.5</v>
      </c>
      <c r="N4">
        <v>0.28000000000000003</v>
      </c>
      <c r="O4">
        <v>0</v>
      </c>
      <c r="P4">
        <f t="shared" si="0"/>
        <v>14.47</v>
      </c>
    </row>
    <row r="5" spans="1:16" x14ac:dyDescent="0.25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0.57999999999999996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0"/>
        <v>0.57999999999999996</v>
      </c>
    </row>
    <row r="6" spans="1:16" x14ac:dyDescent="0.25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3.24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0"/>
        <v>3.24</v>
      </c>
    </row>
    <row r="7" spans="1:16" x14ac:dyDescent="0.25">
      <c r="A7" t="s">
        <v>20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12.79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0"/>
        <v>12.79</v>
      </c>
    </row>
    <row r="8" spans="1:16" x14ac:dyDescent="0.25">
      <c r="A8" t="s">
        <v>21</v>
      </c>
      <c r="B8">
        <v>0</v>
      </c>
      <c r="C8">
        <v>0</v>
      </c>
      <c r="D8">
        <v>0</v>
      </c>
      <c r="E8">
        <v>0</v>
      </c>
      <c r="F8">
        <v>3.24</v>
      </c>
      <c r="G8">
        <v>0</v>
      </c>
      <c r="H8">
        <v>0</v>
      </c>
      <c r="I8">
        <v>7.86</v>
      </c>
      <c r="J8">
        <v>1.78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0"/>
        <v>12.88</v>
      </c>
    </row>
    <row r="9" spans="1:16" x14ac:dyDescent="0.25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1.1399999999999999</v>
      </c>
      <c r="I9">
        <v>0</v>
      </c>
      <c r="J9">
        <v>0</v>
      </c>
      <c r="K9">
        <v>0</v>
      </c>
      <c r="L9">
        <v>1.53</v>
      </c>
      <c r="M9">
        <v>3.35</v>
      </c>
      <c r="N9">
        <v>0</v>
      </c>
      <c r="O9">
        <v>0</v>
      </c>
      <c r="P9">
        <f t="shared" si="0"/>
        <v>6.02</v>
      </c>
    </row>
    <row r="10" spans="1:16" x14ac:dyDescent="0.25">
      <c r="A10" t="s">
        <v>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1.74</v>
      </c>
      <c r="L10">
        <v>0</v>
      </c>
      <c r="M10">
        <v>0</v>
      </c>
      <c r="N10">
        <v>0</v>
      </c>
      <c r="O10">
        <v>0.42</v>
      </c>
      <c r="P10">
        <f t="shared" si="0"/>
        <v>2.16</v>
      </c>
    </row>
    <row r="11" spans="1:16" x14ac:dyDescent="0.25">
      <c r="A11" t="s">
        <v>24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1.8120000000000001</v>
      </c>
      <c r="O11">
        <v>0</v>
      </c>
      <c r="P11">
        <f t="shared" si="0"/>
        <v>1.8120000000000001</v>
      </c>
    </row>
    <row r="12" spans="1:16" x14ac:dyDescent="0.25">
      <c r="A12" t="s">
        <v>25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1.4550000000000001</v>
      </c>
      <c r="P12">
        <f t="shared" si="0"/>
        <v>1.4550000000000001</v>
      </c>
    </row>
    <row r="13" spans="1:16" x14ac:dyDescent="0.25">
      <c r="A13" t="s">
        <v>26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3.3050000000000002</v>
      </c>
      <c r="P13">
        <f t="shared" si="0"/>
        <v>3.3050000000000002</v>
      </c>
    </row>
    <row r="14" spans="1:16" x14ac:dyDescent="0.25">
      <c r="A14" t="s">
        <v>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1.8120000000000001</v>
      </c>
      <c r="P14">
        <f t="shared" si="0"/>
        <v>1.8120000000000001</v>
      </c>
    </row>
    <row r="15" spans="1:16" x14ac:dyDescent="0.25">
      <c r="A15" t="s">
        <v>28</v>
      </c>
      <c r="B15">
        <v>9.8000000000000004E-2</v>
      </c>
      <c r="C15">
        <v>3.08</v>
      </c>
      <c r="D15">
        <v>60.31</v>
      </c>
      <c r="E15">
        <v>3.19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0"/>
        <v>66.677999999999997</v>
      </c>
    </row>
    <row r="16" spans="1:16" x14ac:dyDescent="0.25">
      <c r="A16" t="s">
        <v>14</v>
      </c>
      <c r="B16">
        <f>SUM(B2:B15)</f>
        <v>9.8000000000000004E-2</v>
      </c>
      <c r="C16">
        <f t="shared" ref="C16:O16" si="1">SUM(C2:C15)</f>
        <v>3.08</v>
      </c>
      <c r="D16">
        <f t="shared" si="1"/>
        <v>60.31</v>
      </c>
      <c r="E16">
        <f t="shared" si="1"/>
        <v>3.19</v>
      </c>
      <c r="F16">
        <f t="shared" si="1"/>
        <v>3.6480000000000001</v>
      </c>
      <c r="G16">
        <f t="shared" si="1"/>
        <v>13.22</v>
      </c>
      <c r="H16">
        <f t="shared" si="1"/>
        <v>17.170000000000002</v>
      </c>
      <c r="I16">
        <f t="shared" si="1"/>
        <v>7.95</v>
      </c>
      <c r="J16">
        <f t="shared" si="1"/>
        <v>2.36</v>
      </c>
      <c r="K16">
        <f t="shared" si="1"/>
        <v>1.98</v>
      </c>
      <c r="L16">
        <f t="shared" si="1"/>
        <v>1.76</v>
      </c>
      <c r="M16">
        <f t="shared" si="1"/>
        <v>3.85</v>
      </c>
      <c r="N16">
        <f t="shared" si="1"/>
        <v>2.0920000000000001</v>
      </c>
      <c r="O16">
        <f t="shared" si="1"/>
        <v>6.992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Flows</vt:lpstr>
      <vt:lpstr>Processes</vt:lpstr>
      <vt:lpstr>Exergy</vt:lpstr>
      <vt:lpstr>Format</vt:lpstr>
      <vt:lpstr>ResourcesCost</vt:lpstr>
      <vt:lpstr>Physical Diagram</vt:lpstr>
      <vt:lpstr>Validate</vt:lpstr>
      <vt:lpstr>Table 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Torres Cuadra</dc:creator>
  <cp:lastModifiedBy>César Torres Cuadra</cp:lastModifiedBy>
  <dcterms:created xsi:type="dcterms:W3CDTF">2025-09-25T18:45:24Z</dcterms:created>
  <dcterms:modified xsi:type="dcterms:W3CDTF">2025-10-31T19:40:57Z</dcterms:modified>
</cp:coreProperties>
</file>